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BBQ\GitHub app development\App -Bresaola\"/>
    </mc:Choice>
  </mc:AlternateContent>
  <xr:revisionPtr revIDLastSave="0" documentId="13_ncr:1_{D9F1D619-6A00-44A4-ACE4-EFBFB61043C4}" xr6:coauthVersionLast="47" xr6:coauthVersionMax="47" xr10:uidLastSave="{00000000-0000-0000-0000-000000000000}"/>
  <bookViews>
    <workbookView xWindow="-108" yWindow="-108" windowWidth="23256" windowHeight="13896" tabRatio="688" activeTab="5" xr2:uid="{45657684-3DC0-4287-9CA9-E2B0D1E9F19D}"/>
  </bookViews>
  <sheets>
    <sheet name="0. Resources" sheetId="4" r:id="rId1"/>
    <sheet name="1. Spice mix" sheetId="5" r:id="rId2"/>
    <sheet name="2. Brining time (TUBULAR)" sheetId="6" state="hidden" r:id="rId3"/>
    <sheet name="2. Brining time (FLAT)" sheetId="1" state="hidden" r:id="rId4"/>
    <sheet name="2. Brining time" sheetId="7" r:id="rId5"/>
    <sheet name="3. Drying weight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9" i="3" l="1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B9" i="7"/>
  <c r="C12" i="7"/>
  <c r="C13" i="7"/>
  <c r="C14" i="7"/>
  <c r="C15" i="7"/>
  <c r="C16" i="7"/>
  <c r="C17" i="7"/>
  <c r="C18" i="7"/>
  <c r="C19" i="7"/>
  <c r="C20" i="7"/>
  <c r="C11" i="7"/>
  <c r="B21" i="7"/>
  <c r="B22" i="7" s="1"/>
  <c r="B23" i="7" s="1"/>
  <c r="B24" i="7" s="1"/>
  <c r="B25" i="7" s="1"/>
  <c r="C25" i="7" s="1"/>
  <c r="D21" i="7"/>
  <c r="D22" i="7" s="1"/>
  <c r="D23" i="7" s="1"/>
  <c r="D24" i="7" s="1"/>
  <c r="D25" i="7" s="1"/>
  <c r="D26" i="7" s="1"/>
  <c r="D27" i="7" s="1"/>
  <c r="D28" i="7" s="1"/>
  <c r="D29" i="7" s="1"/>
  <c r="D30" i="7" s="1"/>
  <c r="B4" i="7"/>
  <c r="C24" i="7" l="1"/>
  <c r="C23" i="7"/>
  <c r="B26" i="7"/>
  <c r="C21" i="7"/>
  <c r="C22" i="7"/>
  <c r="E7" i="3"/>
  <c r="E8" i="3" s="1"/>
  <c r="C4" i="1"/>
  <c r="C5" i="1" s="1"/>
  <c r="C4" i="6"/>
  <c r="C5" i="6" s="1"/>
  <c r="E43" i="5"/>
  <c r="E29" i="5"/>
  <c r="E15" i="5"/>
  <c r="D14" i="5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10" i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10" i="1"/>
  <c r="F25" i="6"/>
  <c r="G25" i="6" s="1"/>
  <c r="D25" i="6"/>
  <c r="E25" i="6" s="1"/>
  <c r="F24" i="6"/>
  <c r="G24" i="6" s="1"/>
  <c r="D24" i="6"/>
  <c r="E24" i="6" s="1"/>
  <c r="F23" i="6"/>
  <c r="G23" i="6" s="1"/>
  <c r="D23" i="6"/>
  <c r="E23" i="6" s="1"/>
  <c r="F22" i="6"/>
  <c r="G22" i="6" s="1"/>
  <c r="D22" i="6"/>
  <c r="E22" i="6" s="1"/>
  <c r="F21" i="6"/>
  <c r="G21" i="6" s="1"/>
  <c r="D21" i="6"/>
  <c r="E21" i="6" s="1"/>
  <c r="F20" i="6"/>
  <c r="G20" i="6" s="1"/>
  <c r="D20" i="6"/>
  <c r="E20" i="6" s="1"/>
  <c r="F19" i="6"/>
  <c r="G19" i="6" s="1"/>
  <c r="D19" i="6"/>
  <c r="E19" i="6" s="1"/>
  <c r="F18" i="6"/>
  <c r="G18" i="6" s="1"/>
  <c r="D18" i="6"/>
  <c r="E18" i="6" s="1"/>
  <c r="F17" i="6"/>
  <c r="G17" i="6" s="1"/>
  <c r="D17" i="6"/>
  <c r="E17" i="6" s="1"/>
  <c r="F16" i="6"/>
  <c r="G16" i="6" s="1"/>
  <c r="D16" i="6"/>
  <c r="E16" i="6" s="1"/>
  <c r="F15" i="6"/>
  <c r="G15" i="6" s="1"/>
  <c r="D15" i="6"/>
  <c r="E15" i="6" s="1"/>
  <c r="F14" i="6"/>
  <c r="G14" i="6" s="1"/>
  <c r="D14" i="6"/>
  <c r="E14" i="6" s="1"/>
  <c r="F13" i="6"/>
  <c r="G13" i="6" s="1"/>
  <c r="D13" i="6"/>
  <c r="E13" i="6" s="1"/>
  <c r="F12" i="6"/>
  <c r="G12" i="6" s="1"/>
  <c r="D12" i="6"/>
  <c r="E12" i="6" s="1"/>
  <c r="F11" i="6"/>
  <c r="G11" i="6" s="1"/>
  <c r="D11" i="6"/>
  <c r="E11" i="6" s="1"/>
  <c r="F10" i="6"/>
  <c r="G10" i="6" s="1"/>
  <c r="D10" i="6"/>
  <c r="E10" i="6" s="1"/>
  <c r="L29" i="3"/>
  <c r="K29" i="3"/>
  <c r="J29" i="3"/>
  <c r="I29" i="3"/>
  <c r="L28" i="3"/>
  <c r="K28" i="3"/>
  <c r="J28" i="3"/>
  <c r="I28" i="3"/>
  <c r="C8" i="3"/>
  <c r="F8" i="3" s="1"/>
  <c r="B8" i="3"/>
  <c r="D42" i="5"/>
  <c r="D28" i="5"/>
  <c r="D40" i="5"/>
  <c r="D41" i="5"/>
  <c r="D35" i="5"/>
  <c r="D36" i="5"/>
  <c r="D37" i="5"/>
  <c r="D38" i="5"/>
  <c r="D39" i="5"/>
  <c r="D34" i="5"/>
  <c r="D32" i="5"/>
  <c r="D33" i="5" s="1"/>
  <c r="B33" i="5"/>
  <c r="D11" i="5"/>
  <c r="D12" i="5"/>
  <c r="D13" i="5"/>
  <c r="D10" i="5"/>
  <c r="D8" i="5"/>
  <c r="D9" i="5" s="1"/>
  <c r="B9" i="5"/>
  <c r="B19" i="5"/>
  <c r="D18" i="5"/>
  <c r="D19" i="5" s="1"/>
  <c r="D20" i="5"/>
  <c r="D22" i="5"/>
  <c r="D23" i="5"/>
  <c r="D24" i="5"/>
  <c r="D25" i="5"/>
  <c r="D26" i="5"/>
  <c r="D27" i="5"/>
  <c r="D21" i="5"/>
  <c r="H24" i="6" l="1"/>
  <c r="H14" i="6"/>
  <c r="H17" i="1"/>
  <c r="H16" i="1"/>
  <c r="I8" i="3"/>
  <c r="D21" i="3"/>
  <c r="D22" i="3"/>
  <c r="D11" i="3"/>
  <c r="D23" i="3"/>
  <c r="D13" i="3"/>
  <c r="D25" i="3"/>
  <c r="D14" i="3"/>
  <c r="D26" i="3"/>
  <c r="D15" i="3"/>
  <c r="D27" i="3"/>
  <c r="D16" i="3"/>
  <c r="D28" i="3"/>
  <c r="D17" i="3"/>
  <c r="D29" i="3"/>
  <c r="D18" i="3"/>
  <c r="D19" i="3"/>
  <c r="D20" i="3"/>
  <c r="D12" i="3"/>
  <c r="D24" i="3"/>
  <c r="H12" i="6"/>
  <c r="B27" i="7"/>
  <c r="C26" i="7"/>
  <c r="D8" i="3"/>
  <c r="G8" i="3"/>
  <c r="L8" i="3"/>
  <c r="K8" i="3"/>
  <c r="J8" i="3"/>
  <c r="H21" i="6"/>
  <c r="H22" i="6"/>
  <c r="H19" i="6"/>
  <c r="H10" i="6"/>
  <c r="H20" i="6"/>
  <c r="H15" i="1"/>
  <c r="H14" i="1"/>
  <c r="H12" i="1"/>
  <c r="H24" i="1"/>
  <c r="H23" i="1"/>
  <c r="H11" i="1"/>
  <c r="H20" i="1"/>
  <c r="H22" i="1"/>
  <c r="H19" i="1"/>
  <c r="H21" i="1"/>
  <c r="H18" i="1"/>
  <c r="H13" i="1"/>
  <c r="D43" i="5"/>
  <c r="D15" i="5"/>
  <c r="D29" i="5"/>
  <c r="H17" i="6"/>
  <c r="H23" i="6"/>
  <c r="H18" i="6"/>
  <c r="H16" i="6"/>
  <c r="H13" i="6"/>
  <c r="H11" i="6"/>
  <c r="H15" i="6"/>
  <c r="H25" i="6"/>
  <c r="G10" i="1"/>
  <c r="C5" i="3"/>
  <c r="E10" i="1"/>
  <c r="D10" i="3" l="1"/>
  <c r="D9" i="3"/>
  <c r="J9" i="3"/>
  <c r="B28" i="7"/>
  <c r="C27" i="7"/>
  <c r="K9" i="3"/>
  <c r="L9" i="3"/>
  <c r="I9" i="3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H10" i="1"/>
  <c r="C5" i="7" l="1"/>
  <c r="C6" i="7" s="1"/>
  <c r="B29" i="7"/>
  <c r="C28" i="7"/>
  <c r="L10" i="3"/>
  <c r="K10" i="3"/>
  <c r="J10" i="3"/>
  <c r="I10" i="3"/>
  <c r="B30" i="7" l="1"/>
  <c r="C30" i="7" s="1"/>
  <c r="C29" i="7"/>
  <c r="J11" i="3"/>
  <c r="L11" i="3"/>
  <c r="K11" i="3"/>
  <c r="I11" i="3"/>
  <c r="L12" i="3" l="1"/>
  <c r="K12" i="3"/>
  <c r="J12" i="3"/>
  <c r="I12" i="3"/>
  <c r="L13" i="3" l="1"/>
  <c r="K13" i="3"/>
  <c r="J13" i="3"/>
  <c r="I13" i="3"/>
  <c r="J14" i="3" l="1"/>
  <c r="L14" i="3"/>
  <c r="K14" i="3"/>
  <c r="I14" i="3"/>
  <c r="L15" i="3" l="1"/>
  <c r="J15" i="3"/>
  <c r="I15" i="3"/>
  <c r="K15" i="3"/>
  <c r="L16" i="3" l="1"/>
  <c r="K16" i="3"/>
  <c r="J16" i="3"/>
  <c r="I16" i="3"/>
  <c r="J17" i="3" l="1"/>
  <c r="L17" i="3"/>
  <c r="K17" i="3"/>
  <c r="I17" i="3"/>
  <c r="K18" i="3" l="1"/>
  <c r="J18" i="3"/>
  <c r="L18" i="3"/>
  <c r="I18" i="3"/>
  <c r="L19" i="3" l="1"/>
  <c r="K19" i="3"/>
  <c r="J19" i="3"/>
  <c r="I19" i="3"/>
  <c r="L20" i="3" l="1"/>
  <c r="K20" i="3"/>
  <c r="J20" i="3"/>
  <c r="I20" i="3"/>
  <c r="L21" i="3" l="1"/>
  <c r="K21" i="3"/>
  <c r="J21" i="3"/>
  <c r="I21" i="3"/>
  <c r="I22" i="3" l="1"/>
  <c r="L22" i="3"/>
  <c r="K22" i="3"/>
  <c r="J22" i="3"/>
  <c r="L27" i="3"/>
  <c r="K27" i="3"/>
  <c r="J27" i="3"/>
  <c r="I27" i="3"/>
  <c r="L23" i="3" l="1"/>
  <c r="K23" i="3"/>
  <c r="J23" i="3"/>
  <c r="I23" i="3"/>
  <c r="J24" i="3" l="1"/>
  <c r="I24" i="3"/>
  <c r="L24" i="3"/>
  <c r="K24" i="3"/>
  <c r="L25" i="3" l="1"/>
  <c r="K25" i="3"/>
  <c r="J25" i="3"/>
  <c r="I25" i="3"/>
  <c r="J26" i="3" l="1"/>
  <c r="L26" i="3"/>
  <c r="K26" i="3"/>
  <c r="I26" i="3"/>
</calcChain>
</file>

<file path=xl/sharedStrings.xml><?xml version="1.0" encoding="utf-8"?>
<sst xmlns="http://schemas.openxmlformats.org/spreadsheetml/2006/main" count="124" uniqueCount="76">
  <si>
    <t>Classic Italian Flavor</t>
  </si>
  <si>
    <t>Spicy Calabrian Style</t>
  </si>
  <si>
    <t xml:space="preserve">Juniper berries, crushed </t>
  </si>
  <si>
    <t>Date</t>
  </si>
  <si>
    <t>Weight, after brining</t>
  </si>
  <si>
    <t>Drying, Start date</t>
  </si>
  <si>
    <t>Target weight</t>
  </si>
  <si>
    <t>Days</t>
  </si>
  <si>
    <t>Calculated</t>
  </si>
  <si>
    <t>Roundup</t>
  </si>
  <si>
    <t>Delta</t>
  </si>
  <si>
    <t>Brining, Start date</t>
  </si>
  <si>
    <t>Easy way to make Dry Cured Italian Beef at home - Dry Cured Meats for Beginners</t>
  </si>
  <si>
    <t>https://www.youtube.com/watch?v=39zrfnqMMIA</t>
  </si>
  <si>
    <t>Brining, End date</t>
  </si>
  <si>
    <t>EcoCure #2</t>
  </si>
  <si>
    <t>Meat weight, after trimming</t>
  </si>
  <si>
    <t>% or # per kg</t>
  </si>
  <si>
    <t>Fennel seed, powder</t>
  </si>
  <si>
    <t>Black pepper, powder</t>
  </si>
  <si>
    <t>Cayenne pepper, powder</t>
  </si>
  <si>
    <t>Calabrian pepper, powder</t>
  </si>
  <si>
    <t>Smoked paprika, powder</t>
  </si>
  <si>
    <t>Garlic, granulates</t>
  </si>
  <si>
    <t>Bay leaf, powder</t>
  </si>
  <si>
    <t>Red pepper, flakes</t>
  </si>
  <si>
    <t>Black pepper, power</t>
  </si>
  <si>
    <t>Dried rosemary, crused powder</t>
  </si>
  <si>
    <t>Dried thyme, crushed powder</t>
  </si>
  <si>
    <t>Sugar, white and granulated</t>
  </si>
  <si>
    <t>Turbinado or brown sugar</t>
  </si>
  <si>
    <t>Garlic granulate</t>
  </si>
  <si>
    <t>Black pepper (ground)</t>
  </si>
  <si>
    <t>Juniper berry (crushed)</t>
  </si>
  <si>
    <t>Nutmeg</t>
  </si>
  <si>
    <t>Cinnamon</t>
  </si>
  <si>
    <t>Bay leaf</t>
  </si>
  <si>
    <t>Rosemary, dried and ground</t>
  </si>
  <si>
    <t>Clove, ground</t>
  </si>
  <si>
    <t>Bresaola della Valtellina</t>
  </si>
  <si>
    <t>Max thickness</t>
  </si>
  <si>
    <t>Max diameter</t>
  </si>
  <si>
    <t>Brining days, +20%</t>
  </si>
  <si>
    <t>Actual</t>
  </si>
  <si>
    <t>Plan</t>
  </si>
  <si>
    <t>EcoCure #2, 1% wt, 50% salt</t>
  </si>
  <si>
    <t>[cm]</t>
  </si>
  <si>
    <t>[days]</t>
  </si>
  <si>
    <t>Flat</t>
  </si>
  <si>
    <t>Round up</t>
  </si>
  <si>
    <t>Estimated Min. Eq. Brine Cure time</t>
  </si>
  <si>
    <t xml:space="preserve"> 20% addition</t>
  </si>
  <si>
    <t>Notes</t>
  </si>
  <si>
    <t>* Text</t>
  </si>
  <si>
    <t>Weight [g]</t>
  </si>
  <si>
    <t>Spice mix</t>
  </si>
  <si>
    <t>Brining time</t>
  </si>
  <si>
    <t>Drying</t>
  </si>
  <si>
    <t>Shape and size</t>
  </si>
  <si>
    <t>Start weight</t>
  </si>
  <si>
    <t>End weight</t>
  </si>
  <si>
    <t>Stage</t>
  </si>
  <si>
    <t>Focus</t>
  </si>
  <si>
    <t>Tubular diameter</t>
  </si>
  <si>
    <t>Shape</t>
  </si>
  <si>
    <t>Tubular</t>
  </si>
  <si>
    <t>Thickness</t>
  </si>
  <si>
    <t>Flat =
2X Tubular</t>
  </si>
  <si>
    <t>Time, 20% extra, RoundUp()</t>
  </si>
  <si>
    <t>Input required</t>
  </si>
  <si>
    <t>No</t>
  </si>
  <si>
    <t>Target reduction %</t>
  </si>
  <si>
    <t>* Used 50% fennel seed powder</t>
  </si>
  <si>
    <t>NIL</t>
  </si>
  <si>
    <t>Progress [g]</t>
  </si>
  <si>
    <t>Progress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</si>
</sst>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0.0%"/>
    <numFmt numFmtId="166" formatCode="0.0\ &quot;g&quot;"/>
    <numFmt numFmtId="167" formatCode="0\ &quot;#&quot;"/>
    <numFmt numFmtId="168" formatCode="0\ &quot;g&quot;"/>
    <numFmt numFmtId="169" formatCode="0.000%"/>
    <numFmt numFmtId="170" formatCode="0\ &quot;cm&quot;"/>
    <numFmt numFmtId="171" formatCode="0\ &quot;days&quot;"/>
    <numFmt numFmtId="172" formatCode="0\ &quot;%&quot;"/>
  </numFmts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strike/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" fontId="4" fillId="0" borderId="0" xfId="0" applyNumberFormat="1" applyFont="1"/>
    <xf numFmtId="0" fontId="5" fillId="0" borderId="0" xfId="0" applyFont="1"/>
    <xf numFmtId="0" fontId="6" fillId="0" borderId="0" xfId="1" applyFont="1"/>
    <xf numFmtId="0" fontId="4" fillId="0" borderId="0" xfId="0" quotePrefix="1" applyFont="1"/>
    <xf numFmtId="1" fontId="4" fillId="0" borderId="0" xfId="0" applyNumberFormat="1" applyFont="1" applyAlignment="1">
      <alignment horizontal="center"/>
    </xf>
    <xf numFmtId="10" fontId="4" fillId="0" borderId="0" xfId="0" applyNumberFormat="1" applyFont="1"/>
    <xf numFmtId="0" fontId="3" fillId="0" borderId="0" xfId="0" applyFont="1" applyAlignment="1">
      <alignment horizontal="left"/>
    </xf>
    <xf numFmtId="0" fontId="4" fillId="0" borderId="4" xfId="0" applyFont="1" applyFill="1" applyBorder="1"/>
    <xf numFmtId="165" fontId="4" fillId="0" borderId="0" xfId="0" applyNumberFormat="1" applyFont="1" applyBorder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166" fontId="4" fillId="0" borderId="5" xfId="0" applyNumberFormat="1" applyFont="1" applyBorder="1" applyAlignment="1">
      <alignment horizontal="center"/>
    </xf>
    <xf numFmtId="167" fontId="4" fillId="0" borderId="5" xfId="0" applyNumberFormat="1" applyFont="1" applyBorder="1" applyAlignment="1">
      <alignment horizontal="center"/>
    </xf>
    <xf numFmtId="168" fontId="4" fillId="0" borderId="0" xfId="0" applyNumberFormat="1" applyFont="1" applyAlignment="1">
      <alignment horizontal="center"/>
    </xf>
    <xf numFmtId="167" fontId="4" fillId="0" borderId="0" xfId="0" applyNumberFormat="1" applyFont="1" applyFill="1" applyBorder="1" applyAlignment="1">
      <alignment horizontal="center"/>
    </xf>
    <xf numFmtId="169" fontId="4" fillId="0" borderId="0" xfId="0" applyNumberFormat="1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9" fillId="0" borderId="0" xfId="0" applyFont="1"/>
    <xf numFmtId="168" fontId="10" fillId="0" borderId="0" xfId="0" applyNumberFormat="1" applyFont="1" applyAlignment="1">
      <alignment horizontal="center"/>
    </xf>
    <xf numFmtId="168" fontId="4" fillId="0" borderId="0" xfId="0" applyNumberFormat="1" applyFont="1" applyFill="1" applyAlignment="1">
      <alignment horizontal="center"/>
    </xf>
    <xf numFmtId="166" fontId="4" fillId="0" borderId="13" xfId="0" applyNumberFormat="1" applyFont="1" applyBorder="1" applyAlignment="1">
      <alignment horizontal="center"/>
    </xf>
    <xf numFmtId="167" fontId="4" fillId="0" borderId="13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9" fontId="3" fillId="2" borderId="2" xfId="0" applyNumberFormat="1" applyFont="1" applyFill="1" applyBorder="1" applyAlignment="1">
      <alignment horizontal="center"/>
    </xf>
    <xf numFmtId="9" fontId="3" fillId="2" borderId="3" xfId="0" applyNumberFormat="1" applyFont="1" applyFill="1" applyBorder="1" applyAlignment="1">
      <alignment horizontal="center"/>
    </xf>
    <xf numFmtId="0" fontId="3" fillId="2" borderId="10" xfId="0" applyFont="1" applyFill="1" applyBorder="1"/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2" borderId="7" xfId="0" applyFont="1" applyFill="1" applyBorder="1"/>
    <xf numFmtId="166" fontId="3" fillId="2" borderId="14" xfId="0" applyNumberFormat="1" applyFont="1" applyFill="1" applyBorder="1" applyAlignment="1">
      <alignment horizontal="center"/>
    </xf>
    <xf numFmtId="168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4" fontId="4" fillId="3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14" fontId="4" fillId="3" borderId="4" xfId="0" applyNumberFormat="1" applyFont="1" applyFill="1" applyBorder="1" applyAlignment="1">
      <alignment horizontal="center"/>
    </xf>
    <xf numFmtId="14" fontId="4" fillId="3" borderId="6" xfId="0" applyNumberFormat="1" applyFont="1" applyFill="1" applyBorder="1" applyAlignment="1">
      <alignment horizontal="center"/>
    </xf>
    <xf numFmtId="3" fontId="4" fillId="3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70" fontId="4" fillId="3" borderId="0" xfId="0" applyNumberFormat="1" applyFont="1" applyFill="1" applyAlignment="1">
      <alignment horizontal="center"/>
    </xf>
    <xf numFmtId="17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6" fontId="4" fillId="0" borderId="0" xfId="0" applyNumberFormat="1" applyFont="1" applyAlignment="1">
      <alignment horizontal="left"/>
    </xf>
    <xf numFmtId="3" fontId="4" fillId="2" borderId="5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172" fontId="3" fillId="2" borderId="2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3" fontId="4" fillId="2" borderId="0" xfId="0" applyNumberFormat="1" applyFont="1" applyFill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4" fontId="4" fillId="2" borderId="6" xfId="0" applyNumberFormat="1" applyFont="1" applyFill="1" applyBorder="1" applyAlignment="1">
      <alignment horizontal="center"/>
    </xf>
    <xf numFmtId="3" fontId="4" fillId="2" borderId="7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72" fontId="4" fillId="3" borderId="0" xfId="0" applyNumberFormat="1" applyFont="1" applyFill="1" applyAlignment="1">
      <alignment horizontal="center"/>
    </xf>
    <xf numFmtId="0" fontId="11" fillId="0" borderId="0" xfId="0" applyFont="1"/>
    <xf numFmtId="0" fontId="4" fillId="0" borderId="1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Tubular shape, i.e. eye of round (lårtunge)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6616627247226"/>
          <c:y val="0.13686346863468635"/>
          <c:w val="0.85708944898814032"/>
          <c:h val="0.69958189266932036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Brining time (TUBULAR)'!$E$8</c:f>
              <c:strCache>
                <c:ptCount val="1"/>
                <c:pt idx="0">
                  <c:v>Round up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5.035935440551172E-3"/>
                  <c:y val="0.55241410460802731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'2. Brining time (TUBULAR)'!$B$10:$B$25</c:f>
              <c:numCache>
                <c:formatCode>General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xVal>
          <c:yVal>
            <c:numRef>
              <c:f>'2. Brining time (TUBULAR)'!$E$10:$E$25</c:f>
              <c:numCache>
                <c:formatCode>0.0</c:formatCode>
                <c:ptCount val="16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17</c:v>
                </c:pt>
                <c:pt idx="8">
                  <c:v>20</c:v>
                </c:pt>
                <c:pt idx="9">
                  <c:v>23</c:v>
                </c:pt>
                <c:pt idx="10">
                  <c:v>27</c:v>
                </c:pt>
                <c:pt idx="11">
                  <c:v>30</c:v>
                </c:pt>
                <c:pt idx="12">
                  <c:v>34</c:v>
                </c:pt>
                <c:pt idx="13">
                  <c:v>38</c:v>
                </c:pt>
                <c:pt idx="14">
                  <c:v>42</c:v>
                </c:pt>
                <c:pt idx="15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6D-4EAC-90D4-2B0E49D8D77C}"/>
            </c:ext>
          </c:extLst>
        </c:ser>
        <c:ser>
          <c:idx val="0"/>
          <c:order val="1"/>
          <c:tx>
            <c:strRef>
              <c:f>'2. Brining time (TUBULAR)'!$C$8</c:f>
              <c:strCache>
                <c:ptCount val="1"/>
                <c:pt idx="0">
                  <c:v>Estimated Min. Eq. Brine Cure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'2. Brining time (TUBULAR)'!$B$10:$B$25</c:f>
              <c:numCache>
                <c:formatCode>General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xVal>
          <c:yVal>
            <c:numRef>
              <c:f>'2. Brining time (TUBULAR)'!$C$10:$C$25</c:f>
              <c:numCache>
                <c:formatCode>0.0</c:formatCode>
                <c:ptCount val="16"/>
                <c:pt idx="0">
                  <c:v>2.4</c:v>
                </c:pt>
                <c:pt idx="1">
                  <c:v>3.5</c:v>
                </c:pt>
                <c:pt idx="2">
                  <c:v>4.7</c:v>
                </c:pt>
                <c:pt idx="3">
                  <c:v>6.2</c:v>
                </c:pt>
                <c:pt idx="4">
                  <c:v>7.8</c:v>
                </c:pt>
                <c:pt idx="5">
                  <c:v>9.6999999999999993</c:v>
                </c:pt>
                <c:pt idx="6">
                  <c:v>11.7</c:v>
                </c:pt>
                <c:pt idx="7">
                  <c:v>14</c:v>
                </c:pt>
                <c:pt idx="8">
                  <c:v>16.399999999999999</c:v>
                </c:pt>
                <c:pt idx="9">
                  <c:v>19</c:v>
                </c:pt>
                <c:pt idx="10">
                  <c:v>21.8</c:v>
                </c:pt>
                <c:pt idx="11">
                  <c:v>24.8</c:v>
                </c:pt>
                <c:pt idx="12">
                  <c:v>28</c:v>
                </c:pt>
                <c:pt idx="13">
                  <c:v>31.4</c:v>
                </c:pt>
                <c:pt idx="14">
                  <c:v>35</c:v>
                </c:pt>
                <c:pt idx="15">
                  <c:v>38.799999999999997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AF-4083-9C7F-9388602E9BC3}"/>
            </c:ext>
          </c:extLst>
        </c:ser>
        <c:ser>
          <c:idx val="1"/>
          <c:order val="2"/>
          <c:tx>
            <c:strRef>
              <c:f>'2. Brining time (TUBULAR)'!$D$8</c:f>
              <c:strCache>
                <c:ptCount val="1"/>
                <c:pt idx="0">
                  <c:v> 20% addition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'2. Brining time (TUBULAR)'!$B$10:$B$25</c:f>
              <c:numCache>
                <c:formatCode>General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xVal>
          <c:yVal>
            <c:numRef>
              <c:f>'2. Brining time (TUBULAR)'!$D$10:$D$25</c:f>
              <c:numCache>
                <c:formatCode>0.0</c:formatCode>
                <c:ptCount val="16"/>
                <c:pt idx="0">
                  <c:v>2.88</c:v>
                </c:pt>
                <c:pt idx="1">
                  <c:v>4.2</c:v>
                </c:pt>
                <c:pt idx="2">
                  <c:v>5.64</c:v>
                </c:pt>
                <c:pt idx="3">
                  <c:v>7.4399999999999995</c:v>
                </c:pt>
                <c:pt idx="4">
                  <c:v>9.36</c:v>
                </c:pt>
                <c:pt idx="5">
                  <c:v>11.639999999999999</c:v>
                </c:pt>
                <c:pt idx="6">
                  <c:v>14.04</c:v>
                </c:pt>
                <c:pt idx="7">
                  <c:v>16.8</c:v>
                </c:pt>
                <c:pt idx="8">
                  <c:v>19.679999999999996</c:v>
                </c:pt>
                <c:pt idx="9">
                  <c:v>22.8</c:v>
                </c:pt>
                <c:pt idx="10">
                  <c:v>26.16</c:v>
                </c:pt>
                <c:pt idx="11">
                  <c:v>29.759999999999998</c:v>
                </c:pt>
                <c:pt idx="12">
                  <c:v>33.6</c:v>
                </c:pt>
                <c:pt idx="13">
                  <c:v>37.68</c:v>
                </c:pt>
                <c:pt idx="14">
                  <c:v>42</c:v>
                </c:pt>
                <c:pt idx="15">
                  <c:v>46.559999999999995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AF-4083-9C7F-9388602E9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638015"/>
        <c:axId val="2000641375"/>
      </c:scatterChart>
      <c:valAx>
        <c:axId val="2000638015"/>
        <c:scaling>
          <c:orientation val="minMax"/>
          <c:max val="2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Max meat thicknes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41375"/>
        <c:crosses val="autoZero"/>
        <c:crossBetween val="midCat"/>
        <c:majorUnit val="1"/>
      </c:valAx>
      <c:valAx>
        <c:axId val="20006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38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411583690552881"/>
          <c:y val="0.17252386633310135"/>
          <c:w val="0.46645264721743479"/>
          <c:h val="0.1594037493691633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32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Flat shape, i.e. brisket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6616627247226"/>
          <c:y val="0.13686346863468635"/>
          <c:w val="0.85708944898814032"/>
          <c:h val="0.69958189266932036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Brining time (FLAT)'!$E$8</c:f>
              <c:strCache>
                <c:ptCount val="1"/>
                <c:pt idx="0">
                  <c:v>Round up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3.2801676518985049E-3"/>
                  <c:y val="0.55949964128635288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'2. Brining time (FLAT)'!$B$10:$B$24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'2. Brining time (FLAT)'!$E$10:$E$24</c:f>
              <c:numCache>
                <c:formatCode>0.0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15</c:v>
                </c:pt>
                <c:pt idx="8">
                  <c:v>19</c:v>
                </c:pt>
                <c:pt idx="9">
                  <c:v>24</c:v>
                </c:pt>
                <c:pt idx="10">
                  <c:v>29</c:v>
                </c:pt>
                <c:pt idx="11">
                  <c:v>34</c:v>
                </c:pt>
                <c:pt idx="12">
                  <c:v>40</c:v>
                </c:pt>
                <c:pt idx="13">
                  <c:v>46</c:v>
                </c:pt>
                <c:pt idx="14">
                  <c:v>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F2-46BF-ACB0-B70EA26E24A3}"/>
            </c:ext>
          </c:extLst>
        </c:ser>
        <c:ser>
          <c:idx val="0"/>
          <c:order val="1"/>
          <c:tx>
            <c:strRef>
              <c:f>'2. Brining time (FLAT)'!$C$8</c:f>
              <c:strCache>
                <c:ptCount val="1"/>
                <c:pt idx="0">
                  <c:v>Estimated Min. Eq. Brine Cure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'2. Brining time (FLAT)'!$B$10:$B$24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'2. Brining time (FLAT)'!$C$10:$C$24</c:f>
              <c:numCache>
                <c:formatCode>General</c:formatCode>
                <c:ptCount val="15"/>
                <c:pt idx="0">
                  <c:v>0.2</c:v>
                </c:pt>
                <c:pt idx="1">
                  <c:v>0.8</c:v>
                </c:pt>
                <c:pt idx="2">
                  <c:v>1.7</c:v>
                </c:pt>
                <c:pt idx="3">
                  <c:v>3.1</c:v>
                </c:pt>
                <c:pt idx="4" formatCode="0.0">
                  <c:v>4.8</c:v>
                </c:pt>
                <c:pt idx="5" formatCode="0.0">
                  <c:v>7</c:v>
                </c:pt>
                <c:pt idx="6" formatCode="0.0">
                  <c:v>9.5</c:v>
                </c:pt>
                <c:pt idx="7" formatCode="0.0">
                  <c:v>12.4</c:v>
                </c:pt>
                <c:pt idx="8" formatCode="0.0">
                  <c:v>15.7</c:v>
                </c:pt>
                <c:pt idx="9" formatCode="0.0">
                  <c:v>19.399999999999999</c:v>
                </c:pt>
                <c:pt idx="10" formatCode="0.0">
                  <c:v>23.4</c:v>
                </c:pt>
                <c:pt idx="11" formatCode="0.0">
                  <c:v>27.9</c:v>
                </c:pt>
                <c:pt idx="12" formatCode="0.0">
                  <c:v>32.700000000000003</c:v>
                </c:pt>
                <c:pt idx="13">
                  <c:v>38</c:v>
                </c:pt>
                <c:pt idx="14" formatCode="0.0">
                  <c:v>43.6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E6-47D2-8803-A130ADA1C238}"/>
            </c:ext>
          </c:extLst>
        </c:ser>
        <c:ser>
          <c:idx val="1"/>
          <c:order val="2"/>
          <c:tx>
            <c:strRef>
              <c:f>'2. Brining time (FLAT)'!$D$8</c:f>
              <c:strCache>
                <c:ptCount val="1"/>
                <c:pt idx="0">
                  <c:v> 20% addition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'2. Brining time (FLAT)'!$B$10:$B$24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'2. Brining time (FLAT)'!$D$10:$D$24</c:f>
              <c:numCache>
                <c:formatCode>0.0</c:formatCode>
                <c:ptCount val="15"/>
                <c:pt idx="0">
                  <c:v>0.24</c:v>
                </c:pt>
                <c:pt idx="1">
                  <c:v>0.96</c:v>
                </c:pt>
                <c:pt idx="2">
                  <c:v>2.04</c:v>
                </c:pt>
                <c:pt idx="3">
                  <c:v>3.7199999999999998</c:v>
                </c:pt>
                <c:pt idx="4">
                  <c:v>5.76</c:v>
                </c:pt>
                <c:pt idx="5">
                  <c:v>8.4</c:v>
                </c:pt>
                <c:pt idx="6">
                  <c:v>11.4</c:v>
                </c:pt>
                <c:pt idx="7">
                  <c:v>14.879999999999999</c:v>
                </c:pt>
                <c:pt idx="8">
                  <c:v>18.84</c:v>
                </c:pt>
                <c:pt idx="9">
                  <c:v>23.279999999999998</c:v>
                </c:pt>
                <c:pt idx="10">
                  <c:v>28.08</c:v>
                </c:pt>
                <c:pt idx="11">
                  <c:v>33.479999999999997</c:v>
                </c:pt>
                <c:pt idx="12">
                  <c:v>39.24</c:v>
                </c:pt>
                <c:pt idx="13">
                  <c:v>45.6</c:v>
                </c:pt>
                <c:pt idx="14">
                  <c:v>52.32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E6-47D2-8803-A130ADA1C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638015"/>
        <c:axId val="2000641375"/>
      </c:scatterChart>
      <c:valAx>
        <c:axId val="2000638015"/>
        <c:scaling>
          <c:orientation val="minMax"/>
          <c:max val="1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Max meat thicknes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41375"/>
        <c:crosses val="autoZero"/>
        <c:crossBetween val="midCat"/>
        <c:majorUnit val="1"/>
      </c:valAx>
      <c:valAx>
        <c:axId val="2000641375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38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766566836446597"/>
          <c:y val="0.16326560526515091"/>
          <c:w val="0.43730853356925625"/>
          <c:h val="0.2149925746410760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Base</a:t>
            </a:r>
            <a:r>
              <a:rPr lang="en-GB" sz="2000" b="1" baseline="0"/>
              <a:t> </a:t>
            </a:r>
            <a:r>
              <a:rPr lang="en-GB" sz="2000" b="1"/>
              <a:t>Time, 20% extra, RoundUp(X,0)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7133554314549"/>
          <c:y val="0.13686346863468635"/>
          <c:w val="0.83384215961596253"/>
          <c:h val="0.73876535297997603"/>
        </c:manualLayout>
      </c:layout>
      <c:scatterChart>
        <c:scatterStyle val="lineMarker"/>
        <c:varyColors val="0"/>
        <c:ser>
          <c:idx val="0"/>
          <c:order val="0"/>
          <c:tx>
            <c:strRef>
              <c:f>'2. Brining time'!$C$9</c:f>
              <c:strCache>
                <c:ptCount val="1"/>
                <c:pt idx="0">
                  <c:v>Time, 20% extra, RoundUp()</c:v>
                </c:pt>
              </c:strCache>
            </c:strRef>
          </c:tx>
          <c:spPr>
            <a:ln w="476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'2. Brining time'!$B$11:$B$30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'2. Brining time'!$C$11:$C$30</c:f>
              <c:numCache>
                <c:formatCode>0.0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15</c:v>
                </c:pt>
                <c:pt idx="11">
                  <c:v>17</c:v>
                </c:pt>
                <c:pt idx="12">
                  <c:v>20</c:v>
                </c:pt>
                <c:pt idx="13">
                  <c:v>23</c:v>
                </c:pt>
                <c:pt idx="14">
                  <c:v>27</c:v>
                </c:pt>
                <c:pt idx="15">
                  <c:v>30</c:v>
                </c:pt>
                <c:pt idx="16">
                  <c:v>34</c:v>
                </c:pt>
                <c:pt idx="17">
                  <c:v>38</c:v>
                </c:pt>
                <c:pt idx="18">
                  <c:v>43</c:v>
                </c:pt>
                <c:pt idx="19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3-4E44-BA85-8E4E1E2C1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638015"/>
        <c:axId val="2000641375"/>
      </c:scatterChart>
      <c:valAx>
        <c:axId val="2000638015"/>
        <c:scaling>
          <c:orientation val="minMax"/>
          <c:max val="2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Max meat thicknes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41375"/>
        <c:crosses val="autoZero"/>
        <c:crossBetween val="midCat"/>
        <c:majorUnit val="1"/>
      </c:valAx>
      <c:valAx>
        <c:axId val="20006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Equilibrium curing time</a:t>
                </a:r>
                <a:r>
                  <a:rPr lang="en-GB" baseline="0"/>
                  <a:t> [days]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3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Drying Stage Weight vs Target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20837564437639"/>
          <c:y val="0.14524040578625813"/>
          <c:w val="0.82393417788949741"/>
          <c:h val="0.702413562300121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'3. Drying weight'!$C$7</c:f>
              <c:strCache>
                <c:ptCount val="1"/>
                <c:pt idx="0">
                  <c:v>Weight [g]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89688116397412E-2"/>
                  <c:y val="-0.11935346428841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 Drying weight'!$D$8:$D$29</c:f>
              <c:numCache>
                <c:formatCode>General</c:formatCode>
                <c:ptCount val="22"/>
                <c:pt idx="0">
                  <c:v>0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xVal>
          <c:yVal>
            <c:numRef>
              <c:f>'3. Drying weight'!$C$8:$C$29</c:f>
              <c:numCache>
                <c:formatCode>#,##0</c:formatCode>
                <c:ptCount val="22"/>
                <c:pt idx="0">
                  <c:v>2102</c:v>
                </c:pt>
                <c:pt idx="1">
                  <c:v>2057</c:v>
                </c:pt>
                <c:pt idx="2">
                  <c:v>2026</c:v>
                </c:pt>
                <c:pt idx="3">
                  <c:v>1990</c:v>
                </c:pt>
                <c:pt idx="4">
                  <c:v>1963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D5-4A55-A22C-964D1AF6B396}"/>
            </c:ext>
          </c:extLst>
        </c:ser>
        <c:ser>
          <c:idx val="5"/>
          <c:order val="1"/>
          <c:tx>
            <c:strRef>
              <c:f>'3. Drying weight'!$E$7</c:f>
              <c:strCache>
                <c:ptCount val="1"/>
                <c:pt idx="0">
                  <c:v>35 %</c:v>
                </c:pt>
              </c:strCache>
            </c:strRef>
          </c:tx>
          <c:spPr>
            <a:ln w="22225" cap="rnd">
              <a:solidFill>
                <a:srgbClr val="C0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'3. Drying weight'!$D$8:$D$29</c:f>
              <c:numCache>
                <c:formatCode>General</c:formatCode>
                <c:ptCount val="22"/>
                <c:pt idx="0">
                  <c:v>0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xVal>
          <c:yVal>
            <c:numRef>
              <c:f>'3. Drying weight'!$E$8:$E$29</c:f>
              <c:numCache>
                <c:formatCode>#,##0</c:formatCode>
                <c:ptCount val="22"/>
                <c:pt idx="0">
                  <c:v>1366.3</c:v>
                </c:pt>
                <c:pt idx="1">
                  <c:v>1366.3</c:v>
                </c:pt>
                <c:pt idx="2">
                  <c:v>1366.3</c:v>
                </c:pt>
                <c:pt idx="3">
                  <c:v>1366.3</c:v>
                </c:pt>
                <c:pt idx="4">
                  <c:v>1366.3</c:v>
                </c:pt>
                <c:pt idx="5">
                  <c:v>1366.3</c:v>
                </c:pt>
                <c:pt idx="6">
                  <c:v>1366.3</c:v>
                </c:pt>
                <c:pt idx="7">
                  <c:v>1366.3</c:v>
                </c:pt>
                <c:pt idx="8">
                  <c:v>1366.3</c:v>
                </c:pt>
                <c:pt idx="9">
                  <c:v>1366.3</c:v>
                </c:pt>
                <c:pt idx="10">
                  <c:v>1366.3</c:v>
                </c:pt>
                <c:pt idx="11">
                  <c:v>1366.3</c:v>
                </c:pt>
                <c:pt idx="12">
                  <c:v>1366.3</c:v>
                </c:pt>
                <c:pt idx="13">
                  <c:v>1366.3</c:v>
                </c:pt>
                <c:pt idx="14">
                  <c:v>1366.3</c:v>
                </c:pt>
                <c:pt idx="15">
                  <c:v>1366.3</c:v>
                </c:pt>
                <c:pt idx="16">
                  <c:v>1366.3</c:v>
                </c:pt>
                <c:pt idx="17">
                  <c:v>1366.3</c:v>
                </c:pt>
                <c:pt idx="18">
                  <c:v>1366.3</c:v>
                </c:pt>
                <c:pt idx="19">
                  <c:v>1366.3</c:v>
                </c:pt>
                <c:pt idx="20">
                  <c:v>1366.3</c:v>
                </c:pt>
                <c:pt idx="21">
                  <c:v>1366.3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99-4FAD-B796-34F42974C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885087"/>
        <c:axId val="1897983903"/>
      </c:scatterChart>
      <c:valAx>
        <c:axId val="19808850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Drying duration,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83903"/>
        <c:crosses val="autoZero"/>
        <c:crossBetween val="midCat"/>
      </c:valAx>
      <c:valAx>
        <c:axId val="189798390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Meassured weight, grams</a:t>
                </a:r>
              </a:p>
            </c:rich>
          </c:tx>
          <c:layout>
            <c:manualLayout>
              <c:xMode val="edge"/>
              <c:yMode val="edge"/>
              <c:x val="1.3616266971522524E-2"/>
              <c:y val="0.37820855144503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88508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5384757233214705"/>
          <c:y val="0.67337859893200658"/>
          <c:w val="0.19513394159063449"/>
          <c:h val="0.14807273482739738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73789</xdr:colOff>
      <xdr:row>7</xdr:row>
      <xdr:rowOff>8964</xdr:rowOff>
    </xdr:from>
    <xdr:to>
      <xdr:col>18</xdr:col>
      <xdr:colOff>17929</xdr:colOff>
      <xdr:row>24</xdr:row>
      <xdr:rowOff>188258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97D468-03BC-4C39-84C8-10EB9DDF8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28884</xdr:colOff>
      <xdr:row>0</xdr:row>
      <xdr:rowOff>109570</xdr:rowOff>
    </xdr:from>
    <xdr:to>
      <xdr:col>5</xdr:col>
      <xdr:colOff>136462</xdr:colOff>
      <xdr:row>4</xdr:row>
      <xdr:rowOff>73712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406EBBB-874C-470C-B733-7FE43F5EF28B}"/>
            </a:ext>
          </a:extLst>
        </xdr:cNvPr>
        <xdr:cNvSpPr/>
      </xdr:nvSpPr>
      <xdr:spPr>
        <a:xfrm>
          <a:off x="3449417" y="109570"/>
          <a:ext cx="852645" cy="743075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26863</xdr:colOff>
      <xdr:row>7</xdr:row>
      <xdr:rowOff>8964</xdr:rowOff>
    </xdr:from>
    <xdr:to>
      <xdr:col>18</xdr:col>
      <xdr:colOff>80683</xdr:colOff>
      <xdr:row>23</xdr:row>
      <xdr:rowOff>179294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7CE786-B33C-4C08-A8C7-B596E18F7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53789</xdr:colOff>
      <xdr:row>1</xdr:row>
      <xdr:rowOff>8964</xdr:rowOff>
    </xdr:from>
    <xdr:to>
      <xdr:col>6</xdr:col>
      <xdr:colOff>340659</xdr:colOff>
      <xdr:row>3</xdr:row>
      <xdr:rowOff>179295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B404054-5239-4502-9981-996141340754}"/>
            </a:ext>
          </a:extLst>
        </xdr:cNvPr>
        <xdr:cNvSpPr/>
      </xdr:nvSpPr>
      <xdr:spPr>
        <a:xfrm>
          <a:off x="3433483" y="206188"/>
          <a:ext cx="1792941" cy="56477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22989</xdr:colOff>
      <xdr:row>8</xdr:row>
      <xdr:rowOff>496</xdr:rowOff>
    </xdr:from>
    <xdr:to>
      <xdr:col>12</xdr:col>
      <xdr:colOff>169333</xdr:colOff>
      <xdr:row>30</xdr:row>
      <xdr:rowOff>33866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2F847-E285-43A7-82FC-05717E429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28152</xdr:colOff>
      <xdr:row>5</xdr:row>
      <xdr:rowOff>189019</xdr:rowOff>
    </xdr:from>
    <xdr:to>
      <xdr:col>19</xdr:col>
      <xdr:colOff>330200</xdr:colOff>
      <xdr:row>29</xdr:row>
      <xdr:rowOff>33867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E785E-0D83-8C0A-1536-961D87E55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39zrfnqMM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C883-2573-46E4-968E-F59983B1844E}">
  <dimension ref="B4:C13"/>
  <sheetViews>
    <sheetView workbookViewId="0">
      <selection activeCell="B14" sqref="B14"/>
    </sheetView>
  </sheetViews>
  <sheetFormatPr defaultRowHeight="18" x14ac:dyDescent="0.35"/>
  <cols>
    <col min="2" max="2" width="14.6640625" style="10" customWidth="1"/>
    <col min="3" max="3" width="18.21875" customWidth="1"/>
  </cols>
  <sheetData>
    <row r="4" spans="2:3" x14ac:dyDescent="0.35">
      <c r="B4" s="10" t="s">
        <v>12</v>
      </c>
    </row>
    <row r="5" spans="2:3" x14ac:dyDescent="0.35">
      <c r="B5" s="11" t="s">
        <v>13</v>
      </c>
    </row>
    <row r="7" spans="2:3" x14ac:dyDescent="0.35">
      <c r="B7" s="75" t="s">
        <v>61</v>
      </c>
      <c r="C7" s="75" t="s">
        <v>62</v>
      </c>
    </row>
    <row r="8" spans="2:3" x14ac:dyDescent="0.35">
      <c r="B8" s="10" t="s">
        <v>55</v>
      </c>
      <c r="C8" s="10" t="s">
        <v>59</v>
      </c>
    </row>
    <row r="9" spans="2:3" x14ac:dyDescent="0.35">
      <c r="B9" s="10" t="s">
        <v>56</v>
      </c>
      <c r="C9" s="10" t="s">
        <v>58</v>
      </c>
    </row>
    <row r="10" spans="2:3" x14ac:dyDescent="0.35">
      <c r="B10" s="10" t="s">
        <v>57</v>
      </c>
      <c r="C10" s="10" t="s">
        <v>60</v>
      </c>
    </row>
    <row r="11" spans="2:3" x14ac:dyDescent="0.35">
      <c r="C11" s="10"/>
    </row>
    <row r="12" spans="2:3" x14ac:dyDescent="0.35">
      <c r="C12" s="10"/>
    </row>
    <row r="13" spans="2:3" x14ac:dyDescent="0.35">
      <c r="B13" s="75" t="s">
        <v>69</v>
      </c>
    </row>
  </sheetData>
  <hyperlinks>
    <hyperlink ref="B5" r:id="rId1" xr:uid="{E2FB9174-92E3-4005-BC2D-71E38240F9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0047-533C-4C60-9826-6E81424B1876}">
  <dimension ref="A2:I44"/>
  <sheetViews>
    <sheetView zoomScale="90" zoomScaleNormal="90" workbookViewId="0">
      <pane ySplit="4" topLeftCell="A5" activePane="bottomLeft" state="frozen"/>
      <selection pane="bottomLeft" activeCell="H45" sqref="H45"/>
    </sheetView>
  </sheetViews>
  <sheetFormatPr defaultColWidth="8.6640625" defaultRowHeight="15.6" outlineLevelRow="1" x14ac:dyDescent="0.3"/>
  <cols>
    <col min="1" max="1" width="2.5546875" style="4" customWidth="1"/>
    <col min="2" max="2" width="35.5546875" style="1" customWidth="1"/>
    <col min="3" max="3" width="13.21875" style="4" bestFit="1" customWidth="1"/>
    <col min="4" max="4" width="8.6640625" style="3"/>
    <col min="5" max="6" width="8.6640625" style="4"/>
    <col min="7" max="7" width="8.6640625" style="55"/>
    <col min="8" max="8" width="11.33203125" style="4" bestFit="1" customWidth="1"/>
    <col min="9" max="16384" width="8.6640625" style="4"/>
  </cols>
  <sheetData>
    <row r="2" spans="1:9" x14ac:dyDescent="0.3">
      <c r="B2" s="2" t="s">
        <v>16</v>
      </c>
      <c r="C2" s="45">
        <v>2088</v>
      </c>
    </row>
    <row r="3" spans="1:9" x14ac:dyDescent="0.3">
      <c r="B3" s="15" t="s">
        <v>45</v>
      </c>
      <c r="C3" s="46" t="s">
        <v>70</v>
      </c>
    </row>
    <row r="4" spans="1:9" x14ac:dyDescent="0.3">
      <c r="A4" s="3"/>
      <c r="B4" s="3"/>
      <c r="C4" s="3"/>
    </row>
    <row r="5" spans="1:9" x14ac:dyDescent="0.3">
      <c r="B5" s="27"/>
      <c r="C5" s="28"/>
      <c r="I5" s="3"/>
    </row>
    <row r="6" spans="1:9" ht="16.2" thickBot="1" x14ac:dyDescent="0.35">
      <c r="B6" s="4"/>
      <c r="D6" s="4"/>
    </row>
    <row r="7" spans="1:9" ht="16.2" thickBot="1" x14ac:dyDescent="0.35">
      <c r="B7" s="38" t="s">
        <v>0</v>
      </c>
      <c r="C7" s="39" t="s">
        <v>17</v>
      </c>
      <c r="D7" s="40" t="s">
        <v>44</v>
      </c>
      <c r="E7" s="41" t="s">
        <v>43</v>
      </c>
    </row>
    <row r="8" spans="1:9" hidden="1" outlineLevel="1" x14ac:dyDescent="0.3">
      <c r="B8" s="16" t="s">
        <v>15</v>
      </c>
      <c r="C8" s="18">
        <v>0.01</v>
      </c>
      <c r="D8" s="30" t="str">
        <f>IF(C3="No","NIL",C2*0.01)</f>
        <v>NIL</v>
      </c>
      <c r="E8" s="19"/>
      <c r="G8" s="56" t="s">
        <v>52</v>
      </c>
    </row>
    <row r="9" spans="1:9" hidden="1" outlineLevel="1" x14ac:dyDescent="0.3">
      <c r="B9" s="16" t="str">
        <f>IF(C3="No","Kosher salt","Kosher salt, EcoCure #2 adjusted")</f>
        <v>Kosher salt</v>
      </c>
      <c r="C9" s="17">
        <v>0.03</v>
      </c>
      <c r="D9" s="30">
        <f>IF(C3="Yes",($C$2*C9)-(D8/2),($C$2*C9))</f>
        <v>62.64</v>
      </c>
      <c r="E9" s="19"/>
      <c r="G9" s="55" t="s">
        <v>53</v>
      </c>
    </row>
    <row r="10" spans="1:9" hidden="1" outlineLevel="1" x14ac:dyDescent="0.3">
      <c r="B10" s="16" t="s">
        <v>29</v>
      </c>
      <c r="C10" s="17">
        <v>0.01</v>
      </c>
      <c r="D10" s="30">
        <f>$C$2*C10</f>
        <v>20.88</v>
      </c>
      <c r="E10" s="19"/>
      <c r="G10" s="55" t="s">
        <v>53</v>
      </c>
      <c r="I10" s="3"/>
    </row>
    <row r="11" spans="1:9" hidden="1" outlineLevel="1" x14ac:dyDescent="0.3">
      <c r="B11" s="16" t="s">
        <v>26</v>
      </c>
      <c r="C11" s="17">
        <v>4.0000000000000001E-3</v>
      </c>
      <c r="D11" s="30">
        <f>$C$2*C11</f>
        <v>8.3520000000000003</v>
      </c>
      <c r="E11" s="19"/>
      <c r="G11" s="55" t="s">
        <v>53</v>
      </c>
      <c r="I11" s="3"/>
    </row>
    <row r="12" spans="1:9" hidden="1" outlineLevel="1" x14ac:dyDescent="0.3">
      <c r="B12" s="16" t="s">
        <v>27</v>
      </c>
      <c r="C12" s="17">
        <v>1E-3</v>
      </c>
      <c r="D12" s="30">
        <f>$C$2*C12</f>
        <v>2.0880000000000001</v>
      </c>
      <c r="E12" s="19"/>
      <c r="I12" s="3"/>
    </row>
    <row r="13" spans="1:9" hidden="1" outlineLevel="1" x14ac:dyDescent="0.3">
      <c r="B13" s="16" t="s">
        <v>28</v>
      </c>
      <c r="C13" s="17">
        <v>1.5E-3</v>
      </c>
      <c r="D13" s="30">
        <f>$C$2*C13</f>
        <v>3.1320000000000001</v>
      </c>
      <c r="E13" s="19"/>
      <c r="I13" s="3"/>
    </row>
    <row r="14" spans="1:9" hidden="1" outlineLevel="1" x14ac:dyDescent="0.3">
      <c r="B14" s="16" t="s">
        <v>2</v>
      </c>
      <c r="C14" s="22">
        <v>2</v>
      </c>
      <c r="D14" s="31">
        <f>ROUNDUP(($C$2/1000)*C14,0)</f>
        <v>5</v>
      </c>
      <c r="E14" s="20"/>
      <c r="I14" s="3"/>
    </row>
    <row r="15" spans="1:9" ht="16.2" hidden="1" outlineLevel="1" thickBot="1" x14ac:dyDescent="0.35">
      <c r="B15" s="42"/>
      <c r="C15" s="43"/>
      <c r="D15" s="44">
        <f>SUM(D8:D13)</f>
        <v>97.091999999999999</v>
      </c>
      <c r="E15" s="44">
        <f>SUM(E8:E13)</f>
        <v>0</v>
      </c>
      <c r="G15" s="57"/>
      <c r="H15" s="3"/>
      <c r="I15" s="3"/>
    </row>
    <row r="16" spans="1:9" ht="16.2" collapsed="1" thickBot="1" x14ac:dyDescent="0.35"/>
    <row r="17" spans="2:8" ht="16.2" thickBot="1" x14ac:dyDescent="0.35">
      <c r="B17" s="38" t="s">
        <v>1</v>
      </c>
      <c r="C17" s="39" t="s">
        <v>17</v>
      </c>
      <c r="D17" s="40" t="s">
        <v>44</v>
      </c>
      <c r="E17" s="41" t="s">
        <v>43</v>
      </c>
    </row>
    <row r="18" spans="2:8" outlineLevel="1" x14ac:dyDescent="0.3">
      <c r="B18" s="16" t="s">
        <v>15</v>
      </c>
      <c r="C18" s="18">
        <v>0.01</v>
      </c>
      <c r="D18" s="30" t="str">
        <f>IF(C3="No","NIL",C2*0.01)</f>
        <v>NIL</v>
      </c>
      <c r="E18" s="19" t="s">
        <v>73</v>
      </c>
      <c r="F18" s="5"/>
      <c r="G18" s="56" t="s">
        <v>52</v>
      </c>
      <c r="H18" s="14"/>
    </row>
    <row r="19" spans="2:8" outlineLevel="1" x14ac:dyDescent="0.3">
      <c r="B19" s="16" t="str">
        <f>IF(C3="No","Kosher salt","Kosher salt, EcoCure #2 adjusted")</f>
        <v>Kosher salt</v>
      </c>
      <c r="C19" s="18">
        <v>0.03</v>
      </c>
      <c r="D19" s="30">
        <f>IF(C3="Yes",($C$2*C19)-(D18/2),($C$2*C19))</f>
        <v>62.64</v>
      </c>
      <c r="E19" s="19">
        <v>62.64</v>
      </c>
      <c r="F19" s="5"/>
      <c r="G19" s="55" t="s">
        <v>72</v>
      </c>
      <c r="H19" s="14"/>
    </row>
    <row r="20" spans="2:8" outlineLevel="1" x14ac:dyDescent="0.3">
      <c r="B20" s="16" t="s">
        <v>29</v>
      </c>
      <c r="C20" s="18">
        <v>0.01</v>
      </c>
      <c r="D20" s="30">
        <f t="shared" ref="D20:D27" si="0">C20*$C$2</f>
        <v>20.88</v>
      </c>
      <c r="E20" s="19">
        <v>20.880000000000003</v>
      </c>
      <c r="F20" s="5"/>
      <c r="G20" s="55" t="s">
        <v>53</v>
      </c>
    </row>
    <row r="21" spans="2:8" outlineLevel="1" x14ac:dyDescent="0.3">
      <c r="B21" s="16" t="s">
        <v>19</v>
      </c>
      <c r="C21" s="18">
        <v>2.5000000000000001E-3</v>
      </c>
      <c r="D21" s="30">
        <f t="shared" si="0"/>
        <v>5.22</v>
      </c>
      <c r="E21" s="19">
        <v>5.2200000000000006</v>
      </c>
      <c r="F21" s="5"/>
      <c r="G21" s="55" t="s">
        <v>53</v>
      </c>
    </row>
    <row r="22" spans="2:8" outlineLevel="1" x14ac:dyDescent="0.3">
      <c r="B22" s="16" t="s">
        <v>25</v>
      </c>
      <c r="C22" s="18">
        <v>2E-3</v>
      </c>
      <c r="D22" s="30">
        <f t="shared" si="0"/>
        <v>4.1760000000000002</v>
      </c>
      <c r="E22" s="19">
        <v>4.1760000000000002</v>
      </c>
      <c r="F22" s="5"/>
    </row>
    <row r="23" spans="2:8" outlineLevel="1" x14ac:dyDescent="0.3">
      <c r="B23" s="16" t="s">
        <v>18</v>
      </c>
      <c r="C23" s="18">
        <v>5.0000000000000001E-3</v>
      </c>
      <c r="D23" s="30">
        <f t="shared" si="0"/>
        <v>10.44</v>
      </c>
      <c r="E23" s="19">
        <v>4.2</v>
      </c>
      <c r="F23" s="5"/>
    </row>
    <row r="24" spans="2:8" outlineLevel="1" x14ac:dyDescent="0.3">
      <c r="B24" s="16" t="s">
        <v>20</v>
      </c>
      <c r="C24" s="18">
        <v>2E-3</v>
      </c>
      <c r="D24" s="30">
        <f t="shared" si="0"/>
        <v>4.1760000000000002</v>
      </c>
      <c r="E24" s="20">
        <v>4.1760000000000002</v>
      </c>
      <c r="F24" s="5"/>
    </row>
    <row r="25" spans="2:8" outlineLevel="1" x14ac:dyDescent="0.3">
      <c r="B25" s="16" t="s">
        <v>21</v>
      </c>
      <c r="C25" s="18">
        <v>3.0000000000000001E-3</v>
      </c>
      <c r="D25" s="30">
        <f t="shared" si="0"/>
        <v>6.2640000000000002</v>
      </c>
      <c r="E25" s="20">
        <v>6.2640000000000002</v>
      </c>
      <c r="F25" s="5"/>
    </row>
    <row r="26" spans="2:8" outlineLevel="1" x14ac:dyDescent="0.3">
      <c r="B26" s="16" t="s">
        <v>22</v>
      </c>
      <c r="C26" s="18">
        <v>2E-3</v>
      </c>
      <c r="D26" s="30">
        <f t="shared" si="0"/>
        <v>4.1760000000000002</v>
      </c>
      <c r="E26" s="20">
        <v>4.1760000000000002</v>
      </c>
      <c r="F26" s="5"/>
    </row>
    <row r="27" spans="2:8" outlineLevel="1" x14ac:dyDescent="0.3">
      <c r="B27" s="16" t="s">
        <v>23</v>
      </c>
      <c r="C27" s="18">
        <v>4.0000000000000001E-3</v>
      </c>
      <c r="D27" s="30">
        <f t="shared" si="0"/>
        <v>8.3520000000000003</v>
      </c>
      <c r="E27" s="20">
        <v>8.3520000000000003</v>
      </c>
      <c r="F27" s="5"/>
    </row>
    <row r="28" spans="2:8" outlineLevel="1" x14ac:dyDescent="0.3">
      <c r="B28" s="16" t="s">
        <v>24</v>
      </c>
      <c r="C28" s="22">
        <v>1</v>
      </c>
      <c r="D28" s="31">
        <f>ROUNDUP(($C$2/1000)*C28,0)</f>
        <v>3</v>
      </c>
      <c r="E28" s="20">
        <v>3</v>
      </c>
      <c r="F28" s="5"/>
    </row>
    <row r="29" spans="2:8" ht="16.2" outlineLevel="1" thickBot="1" x14ac:dyDescent="0.35">
      <c r="B29" s="42"/>
      <c r="C29" s="43"/>
      <c r="D29" s="44">
        <f>SUM(D18:D27)</f>
        <v>126.324</v>
      </c>
      <c r="E29" s="44">
        <f>SUM(E18:E27)</f>
        <v>120.08400000000002</v>
      </c>
    </row>
    <row r="30" spans="2:8" ht="16.2" thickBot="1" x14ac:dyDescent="0.35"/>
    <row r="31" spans="2:8" ht="16.2" thickBot="1" x14ac:dyDescent="0.35">
      <c r="B31" s="38" t="s">
        <v>39</v>
      </c>
      <c r="C31" s="39" t="s">
        <v>17</v>
      </c>
      <c r="D31" s="40" t="s">
        <v>44</v>
      </c>
      <c r="E31" s="41" t="s">
        <v>43</v>
      </c>
    </row>
    <row r="32" spans="2:8" hidden="1" outlineLevel="1" x14ac:dyDescent="0.3">
      <c r="B32" s="16" t="s">
        <v>15</v>
      </c>
      <c r="C32" s="18">
        <v>0.01</v>
      </c>
      <c r="D32" s="30" t="str">
        <f>IF(C3="No","NIL",C2*0.01)</f>
        <v>NIL</v>
      </c>
      <c r="E32" s="19"/>
      <c r="G32" s="56" t="s">
        <v>52</v>
      </c>
    </row>
    <row r="33" spans="2:7" hidden="1" outlineLevel="1" x14ac:dyDescent="0.3">
      <c r="B33" s="16" t="str">
        <f>IF(C15="No","Kosher salt","Kosher salt, EcoCure #2 adjusted")</f>
        <v>Kosher salt, EcoCure #2 adjusted</v>
      </c>
      <c r="C33" s="18">
        <v>0.03</v>
      </c>
      <c r="D33" s="30">
        <f>IF(C3="Yes",($C$2*C33)-(D32/2),($C$2*C33))</f>
        <v>62.64</v>
      </c>
      <c r="E33" s="19"/>
      <c r="G33" s="55" t="s">
        <v>53</v>
      </c>
    </row>
    <row r="34" spans="2:7" hidden="1" outlineLevel="1" x14ac:dyDescent="0.3">
      <c r="B34" s="16" t="s">
        <v>30</v>
      </c>
      <c r="C34" s="18">
        <v>5.0000000000000001E-3</v>
      </c>
      <c r="D34" s="30">
        <f>IF(C17="Yes",($C$2*C34)-(D35/2),($C$2*C34))</f>
        <v>10.44</v>
      </c>
      <c r="E34" s="19"/>
      <c r="G34" s="55" t="s">
        <v>53</v>
      </c>
    </row>
    <row r="35" spans="2:7" hidden="1" outlineLevel="1" x14ac:dyDescent="0.3">
      <c r="B35" s="16" t="s">
        <v>31</v>
      </c>
      <c r="C35" s="18">
        <v>1E-3</v>
      </c>
      <c r="D35" s="30">
        <f>IF(C19="Yes",($C$2*C35)-(D36/2),($C$2*C35))</f>
        <v>2.0880000000000001</v>
      </c>
      <c r="E35" s="19"/>
      <c r="G35" s="55" t="s">
        <v>53</v>
      </c>
    </row>
    <row r="36" spans="2:7" hidden="1" outlineLevel="1" x14ac:dyDescent="0.3">
      <c r="B36" s="16" t="s">
        <v>32</v>
      </c>
      <c r="C36" s="18">
        <v>2E-3</v>
      </c>
      <c r="D36" s="30">
        <f>IF(C18="Yes",($C$2*C36)-(D37/2),($C$2*C36))</f>
        <v>4.1760000000000002</v>
      </c>
      <c r="E36" s="19"/>
    </row>
    <row r="37" spans="2:7" hidden="1" outlineLevel="1" x14ac:dyDescent="0.3">
      <c r="B37" s="16" t="s">
        <v>33</v>
      </c>
      <c r="C37" s="18">
        <v>1E-3</v>
      </c>
      <c r="D37" s="30">
        <f>IF(C20="Yes",($C$2*C37)-(D38/2),($C$2*C37))</f>
        <v>2.0880000000000001</v>
      </c>
      <c r="E37" s="19"/>
    </row>
    <row r="38" spans="2:7" hidden="1" outlineLevel="1" x14ac:dyDescent="0.3">
      <c r="B38" s="16" t="s">
        <v>34</v>
      </c>
      <c r="C38" s="23">
        <v>7.5000000000000002E-4</v>
      </c>
      <c r="D38" s="30">
        <f>IF(C21="Yes",($C$2*C38)-(D39/2),($C$2*C38))</f>
        <v>1.5660000000000001</v>
      </c>
      <c r="E38" s="20"/>
    </row>
    <row r="39" spans="2:7" hidden="1" outlineLevel="1" x14ac:dyDescent="0.3">
      <c r="B39" s="16" t="s">
        <v>35</v>
      </c>
      <c r="C39" s="23">
        <v>5.0000000000000001E-4</v>
      </c>
      <c r="D39" s="30">
        <f>IF(C22="Yes",($C$2*C39)-(#REF!/2),($C$2*C39))</f>
        <v>1.044</v>
      </c>
      <c r="E39" s="20"/>
    </row>
    <row r="40" spans="2:7" hidden="1" outlineLevel="1" x14ac:dyDescent="0.3">
      <c r="B40" s="16" t="s">
        <v>37</v>
      </c>
      <c r="C40" s="23">
        <v>5.0000000000000001E-4</v>
      </c>
      <c r="D40" s="30">
        <f>IF(C23="Yes",($C$2*C40)-(#REF!/2),($C$2*C40))</f>
        <v>1.044</v>
      </c>
      <c r="E40" s="20"/>
    </row>
    <row r="41" spans="2:7" hidden="1" outlineLevel="1" x14ac:dyDescent="0.3">
      <c r="B41" s="16" t="s">
        <v>38</v>
      </c>
      <c r="C41" s="23">
        <v>2.5000000000000001E-4</v>
      </c>
      <c r="D41" s="30">
        <f>IF(C24="Yes",($C$2*C41)-(#REF!/2),($C$2*C41))</f>
        <v>0.52200000000000002</v>
      </c>
      <c r="E41" s="20"/>
    </row>
    <row r="42" spans="2:7" hidden="1" outlineLevel="1" x14ac:dyDescent="0.3">
      <c r="B42" s="16" t="s">
        <v>36</v>
      </c>
      <c r="C42" s="22">
        <v>1</v>
      </c>
      <c r="D42" s="31">
        <f>ROUNDUP(($C$2/1000)*C42,0)</f>
        <v>3</v>
      </c>
      <c r="E42" s="20"/>
    </row>
    <row r="43" spans="2:7" ht="16.2" hidden="1" outlineLevel="1" thickBot="1" x14ac:dyDescent="0.35">
      <c r="B43" s="42"/>
      <c r="C43" s="43"/>
      <c r="D43" s="44">
        <f>SUM(D32:D41)</f>
        <v>85.60799999999999</v>
      </c>
      <c r="E43" s="44">
        <f>SUM(E32:E41)</f>
        <v>0</v>
      </c>
    </row>
    <row r="44" spans="2:7" collapsed="1" x14ac:dyDescent="0.3"/>
  </sheetData>
  <dataValidations count="1">
    <dataValidation type="list" allowBlank="1" showInputMessage="1" showErrorMessage="1" sqref="C3" xr:uid="{08CC453C-C94F-46B1-8C39-32FCB2A31D37}">
      <formula1>"Yes, 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9961-52CF-4F4B-BF1B-3D18A1287EBC}">
  <dimension ref="B2:H25"/>
  <sheetViews>
    <sheetView zoomScale="90" zoomScaleNormal="90" workbookViewId="0">
      <pane ySplit="5" topLeftCell="A6" activePane="bottomLeft" state="frozen"/>
      <selection pane="bottomLeft" activeCell="T27" sqref="T27"/>
    </sheetView>
  </sheetViews>
  <sheetFormatPr defaultColWidth="8.6640625" defaultRowHeight="15.6" x14ac:dyDescent="0.3"/>
  <cols>
    <col min="1" max="1" width="3" style="4" customWidth="1"/>
    <col min="2" max="2" width="18.77734375" style="3" bestFit="1" customWidth="1"/>
    <col min="3" max="3" width="17.109375" style="3" customWidth="1"/>
    <col min="4" max="4" width="11" style="4" bestFit="1" customWidth="1"/>
    <col min="5" max="5" width="10.88671875" style="4" customWidth="1"/>
    <col min="6" max="7" width="11.109375" style="3" customWidth="1"/>
    <col min="8" max="8" width="8.6640625" style="3"/>
    <col min="9" max="16384" width="8.6640625" style="4"/>
  </cols>
  <sheetData>
    <row r="2" spans="2:8" x14ac:dyDescent="0.3">
      <c r="B2" s="2" t="s">
        <v>11</v>
      </c>
      <c r="C2" s="47">
        <v>46249</v>
      </c>
      <c r="D2" s="13"/>
    </row>
    <row r="3" spans="2:8" x14ac:dyDescent="0.3">
      <c r="B3" s="2" t="s">
        <v>41</v>
      </c>
      <c r="C3" s="53">
        <v>0</v>
      </c>
      <c r="D3" s="3"/>
    </row>
    <row r="4" spans="2:8" x14ac:dyDescent="0.3">
      <c r="B4" s="2" t="s">
        <v>42</v>
      </c>
      <c r="C4" s="54" t="e">
        <f>VLOOKUP(C3,B10:E25,4)</f>
        <v>#N/A</v>
      </c>
      <c r="D4" s="3"/>
      <c r="E4" s="12"/>
    </row>
    <row r="5" spans="2:8" x14ac:dyDescent="0.3">
      <c r="B5" s="2" t="s">
        <v>14</v>
      </c>
      <c r="C5" s="8" t="e">
        <f>C2+C4</f>
        <v>#N/A</v>
      </c>
      <c r="D5" s="3"/>
    </row>
    <row r="6" spans="2:8" x14ac:dyDescent="0.3">
      <c r="B6" s="4"/>
      <c r="C6" s="4"/>
      <c r="F6" s="4"/>
    </row>
    <row r="8" spans="2:8" ht="46.8" x14ac:dyDescent="0.3">
      <c r="B8" s="32" t="s">
        <v>63</v>
      </c>
      <c r="C8" s="32" t="s">
        <v>50</v>
      </c>
      <c r="D8" s="32" t="s">
        <v>51</v>
      </c>
      <c r="E8" s="32" t="s">
        <v>49</v>
      </c>
      <c r="F8" s="32" t="s">
        <v>8</v>
      </c>
      <c r="G8" s="32" t="s">
        <v>9</v>
      </c>
      <c r="H8" s="33" t="s">
        <v>10</v>
      </c>
    </row>
    <row r="9" spans="2:8" x14ac:dyDescent="0.3">
      <c r="B9" s="52" t="s">
        <v>46</v>
      </c>
      <c r="C9" s="52" t="s">
        <v>47</v>
      </c>
      <c r="D9" s="52" t="s">
        <v>47</v>
      </c>
      <c r="E9" s="52" t="s">
        <v>47</v>
      </c>
      <c r="F9" s="52" t="s">
        <v>47</v>
      </c>
      <c r="G9" s="52" t="s">
        <v>47</v>
      </c>
      <c r="H9" s="52" t="s">
        <v>47</v>
      </c>
    </row>
    <row r="10" spans="2:8" x14ac:dyDescent="0.3">
      <c r="B10" s="3">
        <v>5</v>
      </c>
      <c r="C10" s="5">
        <v>2.4</v>
      </c>
      <c r="D10" s="5">
        <f>C10*1.2</f>
        <v>2.88</v>
      </c>
      <c r="E10" s="5">
        <f>ROUNDUP(D10,0)</f>
        <v>3</v>
      </c>
      <c r="F10" s="6">
        <f>0.1133*B10^2+0.0638*0.1591</f>
        <v>2.8426505799999999</v>
      </c>
      <c r="G10" s="6">
        <f>ROUNDUP(F10,0)</f>
        <v>3</v>
      </c>
      <c r="H10" s="6">
        <f>G10-E10</f>
        <v>0</v>
      </c>
    </row>
    <row r="11" spans="2:8" x14ac:dyDescent="0.3">
      <c r="B11" s="3">
        <v>6</v>
      </c>
      <c r="C11" s="5">
        <v>3.5</v>
      </c>
      <c r="D11" s="5">
        <f t="shared" ref="D11:D25" si="0">C11*1.2</f>
        <v>4.2</v>
      </c>
      <c r="E11" s="5">
        <f t="shared" ref="E11:E25" si="1">ROUNDUP(D11,0)</f>
        <v>5</v>
      </c>
      <c r="F11" s="6">
        <f>0.1133*B11^2+0.0638*0.1591</f>
        <v>4.0889505800000006</v>
      </c>
      <c r="G11" s="6">
        <f t="shared" ref="G11:G25" si="2">ROUNDUP(F11,0)</f>
        <v>5</v>
      </c>
      <c r="H11" s="6">
        <f t="shared" ref="H11:H25" si="3">G11-E11</f>
        <v>0</v>
      </c>
    </row>
    <row r="12" spans="2:8" x14ac:dyDescent="0.3">
      <c r="B12" s="3">
        <v>7</v>
      </c>
      <c r="C12" s="5">
        <v>4.7</v>
      </c>
      <c r="D12" s="5">
        <f t="shared" si="0"/>
        <v>5.64</v>
      </c>
      <c r="E12" s="5">
        <f t="shared" si="1"/>
        <v>6</v>
      </c>
      <c r="F12" s="6">
        <f t="shared" ref="F12:F25" si="4">0.1133*B12^2+0.0638*0.1591</f>
        <v>5.5618505800000007</v>
      </c>
      <c r="G12" s="6">
        <f t="shared" si="2"/>
        <v>6</v>
      </c>
      <c r="H12" s="6">
        <f t="shared" si="3"/>
        <v>0</v>
      </c>
    </row>
    <row r="13" spans="2:8" x14ac:dyDescent="0.3">
      <c r="B13" s="3">
        <v>8</v>
      </c>
      <c r="C13" s="5">
        <v>6.2</v>
      </c>
      <c r="D13" s="5">
        <f t="shared" si="0"/>
        <v>7.4399999999999995</v>
      </c>
      <c r="E13" s="5">
        <f t="shared" si="1"/>
        <v>8</v>
      </c>
      <c r="F13" s="6">
        <f t="shared" si="4"/>
        <v>7.2613505800000002</v>
      </c>
      <c r="G13" s="6">
        <f t="shared" si="2"/>
        <v>8</v>
      </c>
      <c r="H13" s="6">
        <f t="shared" si="3"/>
        <v>0</v>
      </c>
    </row>
    <row r="14" spans="2:8" x14ac:dyDescent="0.3">
      <c r="B14" s="3">
        <v>9</v>
      </c>
      <c r="C14" s="5">
        <v>7.8</v>
      </c>
      <c r="D14" s="5">
        <f t="shared" si="0"/>
        <v>9.36</v>
      </c>
      <c r="E14" s="5">
        <f t="shared" si="1"/>
        <v>10</v>
      </c>
      <c r="F14" s="6">
        <f t="shared" si="4"/>
        <v>9.1874505800000001</v>
      </c>
      <c r="G14" s="6">
        <f t="shared" si="2"/>
        <v>10</v>
      </c>
      <c r="H14" s="6">
        <f t="shared" si="3"/>
        <v>0</v>
      </c>
    </row>
    <row r="15" spans="2:8" x14ac:dyDescent="0.3">
      <c r="B15" s="3">
        <v>10</v>
      </c>
      <c r="C15" s="5">
        <v>9.6999999999999993</v>
      </c>
      <c r="D15" s="5">
        <f t="shared" si="0"/>
        <v>11.639999999999999</v>
      </c>
      <c r="E15" s="5">
        <f t="shared" si="1"/>
        <v>12</v>
      </c>
      <c r="F15" s="6">
        <f t="shared" si="4"/>
        <v>11.34015058</v>
      </c>
      <c r="G15" s="6">
        <f t="shared" si="2"/>
        <v>12</v>
      </c>
      <c r="H15" s="6">
        <f t="shared" si="3"/>
        <v>0</v>
      </c>
    </row>
    <row r="16" spans="2:8" x14ac:dyDescent="0.3">
      <c r="B16" s="3">
        <v>11</v>
      </c>
      <c r="C16" s="5">
        <v>11.7</v>
      </c>
      <c r="D16" s="5">
        <f t="shared" si="0"/>
        <v>14.04</v>
      </c>
      <c r="E16" s="5">
        <f t="shared" si="1"/>
        <v>15</v>
      </c>
      <c r="F16" s="6">
        <f t="shared" si="4"/>
        <v>13.719450579999998</v>
      </c>
      <c r="G16" s="6">
        <f t="shared" si="2"/>
        <v>14</v>
      </c>
      <c r="H16" s="6">
        <f t="shared" si="3"/>
        <v>-1</v>
      </c>
    </row>
    <row r="17" spans="2:8" x14ac:dyDescent="0.3">
      <c r="B17" s="3">
        <v>12</v>
      </c>
      <c r="C17" s="5">
        <v>14</v>
      </c>
      <c r="D17" s="5">
        <f t="shared" si="0"/>
        <v>16.8</v>
      </c>
      <c r="E17" s="5">
        <f t="shared" si="1"/>
        <v>17</v>
      </c>
      <c r="F17" s="6">
        <f t="shared" si="4"/>
        <v>16.325350580000002</v>
      </c>
      <c r="G17" s="6">
        <f t="shared" si="2"/>
        <v>17</v>
      </c>
      <c r="H17" s="6">
        <f t="shared" si="3"/>
        <v>0</v>
      </c>
    </row>
    <row r="18" spans="2:8" x14ac:dyDescent="0.3">
      <c r="B18" s="3">
        <v>13</v>
      </c>
      <c r="C18" s="5">
        <v>16.399999999999999</v>
      </c>
      <c r="D18" s="5">
        <f t="shared" si="0"/>
        <v>19.679999999999996</v>
      </c>
      <c r="E18" s="5">
        <f t="shared" si="1"/>
        <v>20</v>
      </c>
      <c r="F18" s="6">
        <f t="shared" si="4"/>
        <v>19.157850580000002</v>
      </c>
      <c r="G18" s="6">
        <f t="shared" si="2"/>
        <v>20</v>
      </c>
      <c r="H18" s="6">
        <f t="shared" si="3"/>
        <v>0</v>
      </c>
    </row>
    <row r="19" spans="2:8" x14ac:dyDescent="0.3">
      <c r="B19" s="3">
        <v>14</v>
      </c>
      <c r="C19" s="5">
        <v>19</v>
      </c>
      <c r="D19" s="5">
        <f t="shared" si="0"/>
        <v>22.8</v>
      </c>
      <c r="E19" s="5">
        <f t="shared" si="1"/>
        <v>23</v>
      </c>
      <c r="F19" s="6">
        <f t="shared" si="4"/>
        <v>22.216950580000002</v>
      </c>
      <c r="G19" s="6">
        <f t="shared" si="2"/>
        <v>23</v>
      </c>
      <c r="H19" s="6">
        <f t="shared" si="3"/>
        <v>0</v>
      </c>
    </row>
    <row r="20" spans="2:8" x14ac:dyDescent="0.3">
      <c r="B20" s="3">
        <v>15</v>
      </c>
      <c r="C20" s="5">
        <v>21.8</v>
      </c>
      <c r="D20" s="5">
        <f t="shared" si="0"/>
        <v>26.16</v>
      </c>
      <c r="E20" s="5">
        <f t="shared" si="1"/>
        <v>27</v>
      </c>
      <c r="F20" s="6">
        <f t="shared" si="4"/>
        <v>25.502650580000001</v>
      </c>
      <c r="G20" s="6">
        <f t="shared" si="2"/>
        <v>26</v>
      </c>
      <c r="H20" s="6">
        <f t="shared" si="3"/>
        <v>-1</v>
      </c>
    </row>
    <row r="21" spans="2:8" x14ac:dyDescent="0.3">
      <c r="B21" s="3">
        <v>16</v>
      </c>
      <c r="C21" s="5">
        <v>24.8</v>
      </c>
      <c r="D21" s="5">
        <f t="shared" si="0"/>
        <v>29.759999999999998</v>
      </c>
      <c r="E21" s="5">
        <f t="shared" si="1"/>
        <v>30</v>
      </c>
      <c r="F21" s="6">
        <f t="shared" si="4"/>
        <v>29.014950580000001</v>
      </c>
      <c r="G21" s="6">
        <f t="shared" si="2"/>
        <v>30</v>
      </c>
      <c r="H21" s="6">
        <f t="shared" si="3"/>
        <v>0</v>
      </c>
    </row>
    <row r="22" spans="2:8" x14ac:dyDescent="0.3">
      <c r="B22" s="3">
        <v>17</v>
      </c>
      <c r="C22" s="5">
        <v>28</v>
      </c>
      <c r="D22" s="5">
        <f t="shared" si="0"/>
        <v>33.6</v>
      </c>
      <c r="E22" s="5">
        <f t="shared" si="1"/>
        <v>34</v>
      </c>
      <c r="F22" s="6">
        <f t="shared" si="4"/>
        <v>32.753850579999998</v>
      </c>
      <c r="G22" s="6">
        <f t="shared" si="2"/>
        <v>33</v>
      </c>
      <c r="H22" s="6">
        <f t="shared" si="3"/>
        <v>-1</v>
      </c>
    </row>
    <row r="23" spans="2:8" x14ac:dyDescent="0.3">
      <c r="B23" s="3">
        <v>18</v>
      </c>
      <c r="C23" s="5">
        <v>31.4</v>
      </c>
      <c r="D23" s="5">
        <f t="shared" si="0"/>
        <v>37.68</v>
      </c>
      <c r="E23" s="5">
        <f t="shared" si="1"/>
        <v>38</v>
      </c>
      <c r="F23" s="6">
        <f t="shared" si="4"/>
        <v>36.719350580000004</v>
      </c>
      <c r="G23" s="6">
        <f t="shared" si="2"/>
        <v>37</v>
      </c>
      <c r="H23" s="6">
        <f t="shared" si="3"/>
        <v>-1</v>
      </c>
    </row>
    <row r="24" spans="2:8" x14ac:dyDescent="0.3">
      <c r="B24" s="3">
        <v>19</v>
      </c>
      <c r="C24" s="5">
        <v>35</v>
      </c>
      <c r="D24" s="5">
        <f t="shared" si="0"/>
        <v>42</v>
      </c>
      <c r="E24" s="5">
        <f t="shared" si="1"/>
        <v>42</v>
      </c>
      <c r="F24" s="6">
        <f t="shared" si="4"/>
        <v>40.91145058</v>
      </c>
      <c r="G24" s="6">
        <f t="shared" si="2"/>
        <v>41</v>
      </c>
      <c r="H24" s="6">
        <f t="shared" si="3"/>
        <v>-1</v>
      </c>
    </row>
    <row r="25" spans="2:8" x14ac:dyDescent="0.3">
      <c r="B25" s="3">
        <v>20</v>
      </c>
      <c r="C25" s="5">
        <v>38.799999999999997</v>
      </c>
      <c r="D25" s="5">
        <f t="shared" si="0"/>
        <v>46.559999999999995</v>
      </c>
      <c r="E25" s="5">
        <f t="shared" si="1"/>
        <v>47</v>
      </c>
      <c r="F25" s="6">
        <f t="shared" si="4"/>
        <v>45.330150580000002</v>
      </c>
      <c r="G25" s="6">
        <f t="shared" si="2"/>
        <v>46</v>
      </c>
      <c r="H25" s="6">
        <f t="shared" si="3"/>
        <v>-1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9E50-4967-4C2F-903F-420598743B18}">
  <dimension ref="B2:H24"/>
  <sheetViews>
    <sheetView zoomScale="90" zoomScaleNormal="90" workbookViewId="0">
      <pane ySplit="5" topLeftCell="A6" activePane="bottomLeft" state="frozen"/>
      <selection pane="bottomLeft" activeCell="H10" sqref="H10"/>
    </sheetView>
  </sheetViews>
  <sheetFormatPr defaultColWidth="8.6640625" defaultRowHeight="15.6" x14ac:dyDescent="0.3"/>
  <cols>
    <col min="1" max="1" width="3" style="4" customWidth="1"/>
    <col min="2" max="2" width="18.109375" style="3" bestFit="1" customWidth="1"/>
    <col min="3" max="3" width="17.109375" style="3" customWidth="1"/>
    <col min="4" max="4" width="11" style="4" bestFit="1" customWidth="1"/>
    <col min="5" max="5" width="10.88671875" style="4" customWidth="1"/>
    <col min="6" max="7" width="11.109375" style="3" customWidth="1"/>
    <col min="8" max="8" width="8.6640625" style="3"/>
    <col min="9" max="16384" width="8.6640625" style="4"/>
  </cols>
  <sheetData>
    <row r="2" spans="2:8" x14ac:dyDescent="0.3">
      <c r="B2" s="2" t="s">
        <v>11</v>
      </c>
      <c r="C2" s="47">
        <v>46291</v>
      </c>
      <c r="D2" s="13"/>
    </row>
    <row r="3" spans="2:8" x14ac:dyDescent="0.3">
      <c r="B3" s="2" t="s">
        <v>40</v>
      </c>
      <c r="C3" s="53">
        <v>0</v>
      </c>
      <c r="D3" s="3"/>
    </row>
    <row r="4" spans="2:8" x14ac:dyDescent="0.3">
      <c r="B4" s="2" t="s">
        <v>42</v>
      </c>
      <c r="C4" s="54" t="e">
        <f>VLOOKUP(C3,B10:E24,4)</f>
        <v>#N/A</v>
      </c>
      <c r="D4" s="3"/>
      <c r="E4" s="12"/>
    </row>
    <row r="5" spans="2:8" x14ac:dyDescent="0.3">
      <c r="B5" s="2" t="s">
        <v>14</v>
      </c>
      <c r="C5" s="8" t="e">
        <f>C2+C4</f>
        <v>#N/A</v>
      </c>
      <c r="D5" s="3"/>
    </row>
    <row r="6" spans="2:8" x14ac:dyDescent="0.3">
      <c r="B6" s="4"/>
      <c r="C6" s="4"/>
      <c r="F6" s="4"/>
    </row>
    <row r="8" spans="2:8" ht="46.8" x14ac:dyDescent="0.3">
      <c r="B8" s="32" t="s">
        <v>48</v>
      </c>
      <c r="C8" s="32" t="s">
        <v>50</v>
      </c>
      <c r="D8" s="32" t="s">
        <v>51</v>
      </c>
      <c r="E8" s="32" t="s">
        <v>49</v>
      </c>
      <c r="F8" s="32" t="s">
        <v>8</v>
      </c>
      <c r="G8" s="32" t="s">
        <v>9</v>
      </c>
      <c r="H8" s="33" t="s">
        <v>10</v>
      </c>
    </row>
    <row r="9" spans="2:8" x14ac:dyDescent="0.3">
      <c r="B9" s="52" t="s">
        <v>46</v>
      </c>
      <c r="C9" s="52" t="s">
        <v>47</v>
      </c>
      <c r="D9" s="52" t="s">
        <v>47</v>
      </c>
      <c r="E9" s="52" t="s">
        <v>47</v>
      </c>
      <c r="F9" s="52" t="s">
        <v>47</v>
      </c>
      <c r="G9" s="52" t="s">
        <v>47</v>
      </c>
      <c r="H9" s="52" t="s">
        <v>47</v>
      </c>
    </row>
    <row r="10" spans="2:8" x14ac:dyDescent="0.3">
      <c r="B10" s="3">
        <v>1</v>
      </c>
      <c r="C10" s="3">
        <v>0.2</v>
      </c>
      <c r="D10" s="5">
        <f>C10*1.2</f>
        <v>0.24</v>
      </c>
      <c r="E10" s="5">
        <f>ROUNDUP(D10,0)</f>
        <v>1</v>
      </c>
      <c r="F10" s="6">
        <f xml:space="preserve"> 0.236*(B10^2) - 0.0442*B10 + 0.5758</f>
        <v>0.76759999999999995</v>
      </c>
      <c r="G10" s="6">
        <f>ROUNDUP(F10,0)</f>
        <v>1</v>
      </c>
      <c r="H10" s="6">
        <f>G10-E10</f>
        <v>0</v>
      </c>
    </row>
    <row r="11" spans="2:8" x14ac:dyDescent="0.3">
      <c r="B11" s="3">
        <v>2</v>
      </c>
      <c r="C11" s="3">
        <v>0.8</v>
      </c>
      <c r="D11" s="5">
        <f t="shared" ref="D11:D24" si="0">C11*1.2</f>
        <v>0.96</v>
      </c>
      <c r="E11" s="5">
        <f t="shared" ref="E11:E24" si="1">ROUNDUP(D11,0)</f>
        <v>1</v>
      </c>
      <c r="F11" s="6">
        <f t="shared" ref="F11:F24" si="2" xml:space="preserve"> 0.236*(B11^2) - 0.0442*B11 + 0.5758</f>
        <v>1.4314</v>
      </c>
      <c r="G11" s="6">
        <f t="shared" ref="G11:G24" si="3">ROUNDUP(F11,0)</f>
        <v>2</v>
      </c>
      <c r="H11" s="6">
        <f t="shared" ref="H11:H24" si="4">G11-E11</f>
        <v>1</v>
      </c>
    </row>
    <row r="12" spans="2:8" x14ac:dyDescent="0.3">
      <c r="B12" s="3">
        <v>3</v>
      </c>
      <c r="C12" s="3">
        <v>1.7</v>
      </c>
      <c r="D12" s="5">
        <f t="shared" si="0"/>
        <v>2.04</v>
      </c>
      <c r="E12" s="5">
        <f t="shared" si="1"/>
        <v>3</v>
      </c>
      <c r="F12" s="6">
        <f t="shared" si="2"/>
        <v>2.5671999999999997</v>
      </c>
      <c r="G12" s="6">
        <f t="shared" si="3"/>
        <v>3</v>
      </c>
      <c r="H12" s="6">
        <f t="shared" si="4"/>
        <v>0</v>
      </c>
    </row>
    <row r="13" spans="2:8" x14ac:dyDescent="0.3">
      <c r="B13" s="3">
        <v>4</v>
      </c>
      <c r="C13" s="3">
        <v>3.1</v>
      </c>
      <c r="D13" s="5">
        <f t="shared" si="0"/>
        <v>3.7199999999999998</v>
      </c>
      <c r="E13" s="5">
        <f t="shared" si="1"/>
        <v>4</v>
      </c>
      <c r="F13" s="6">
        <f t="shared" si="2"/>
        <v>4.1749999999999998</v>
      </c>
      <c r="G13" s="6">
        <f t="shared" si="3"/>
        <v>5</v>
      </c>
      <c r="H13" s="6">
        <f t="shared" si="4"/>
        <v>1</v>
      </c>
    </row>
    <row r="14" spans="2:8" x14ac:dyDescent="0.3">
      <c r="B14" s="3">
        <v>5</v>
      </c>
      <c r="C14" s="5">
        <v>4.8</v>
      </c>
      <c r="D14" s="5">
        <f t="shared" si="0"/>
        <v>5.76</v>
      </c>
      <c r="E14" s="5">
        <f t="shared" si="1"/>
        <v>6</v>
      </c>
      <c r="F14" s="6">
        <f t="shared" si="2"/>
        <v>6.2547999999999995</v>
      </c>
      <c r="G14" s="6">
        <f t="shared" si="3"/>
        <v>7</v>
      </c>
      <c r="H14" s="6">
        <f t="shared" si="4"/>
        <v>1</v>
      </c>
    </row>
    <row r="15" spans="2:8" x14ac:dyDescent="0.3">
      <c r="B15" s="3">
        <v>6</v>
      </c>
      <c r="C15" s="5">
        <v>7</v>
      </c>
      <c r="D15" s="5">
        <f t="shared" si="0"/>
        <v>8.4</v>
      </c>
      <c r="E15" s="5">
        <f t="shared" si="1"/>
        <v>9</v>
      </c>
      <c r="F15" s="6">
        <f t="shared" si="2"/>
        <v>8.8065999999999978</v>
      </c>
      <c r="G15" s="6">
        <f t="shared" si="3"/>
        <v>9</v>
      </c>
      <c r="H15" s="6">
        <f t="shared" si="4"/>
        <v>0</v>
      </c>
    </row>
    <row r="16" spans="2:8" x14ac:dyDescent="0.3">
      <c r="B16" s="3">
        <v>7</v>
      </c>
      <c r="C16" s="5">
        <v>9.5</v>
      </c>
      <c r="D16" s="5">
        <f t="shared" si="0"/>
        <v>11.4</v>
      </c>
      <c r="E16" s="5">
        <f t="shared" si="1"/>
        <v>12</v>
      </c>
      <c r="F16" s="6">
        <f t="shared" si="2"/>
        <v>11.830399999999999</v>
      </c>
      <c r="G16" s="6">
        <f t="shared" si="3"/>
        <v>12</v>
      </c>
      <c r="H16" s="6">
        <f t="shared" si="4"/>
        <v>0</v>
      </c>
    </row>
    <row r="17" spans="2:8" x14ac:dyDescent="0.3">
      <c r="B17" s="3">
        <v>8</v>
      </c>
      <c r="C17" s="5">
        <v>12.4</v>
      </c>
      <c r="D17" s="5">
        <f t="shared" si="0"/>
        <v>14.879999999999999</v>
      </c>
      <c r="E17" s="5">
        <f t="shared" si="1"/>
        <v>15</v>
      </c>
      <c r="F17" s="6">
        <f t="shared" si="2"/>
        <v>15.326199999999998</v>
      </c>
      <c r="G17" s="6">
        <f t="shared" si="3"/>
        <v>16</v>
      </c>
      <c r="H17" s="6">
        <f t="shared" si="4"/>
        <v>1</v>
      </c>
    </row>
    <row r="18" spans="2:8" x14ac:dyDescent="0.3">
      <c r="B18" s="3">
        <v>9</v>
      </c>
      <c r="C18" s="5">
        <v>15.7</v>
      </c>
      <c r="D18" s="5">
        <f t="shared" si="0"/>
        <v>18.84</v>
      </c>
      <c r="E18" s="5">
        <f t="shared" si="1"/>
        <v>19</v>
      </c>
      <c r="F18" s="6">
        <f t="shared" si="2"/>
        <v>19.294</v>
      </c>
      <c r="G18" s="6">
        <f t="shared" si="3"/>
        <v>20</v>
      </c>
      <c r="H18" s="6">
        <f t="shared" si="4"/>
        <v>1</v>
      </c>
    </row>
    <row r="19" spans="2:8" x14ac:dyDescent="0.3">
      <c r="B19" s="3">
        <v>10</v>
      </c>
      <c r="C19" s="5">
        <v>19.399999999999999</v>
      </c>
      <c r="D19" s="5">
        <f t="shared" si="0"/>
        <v>23.279999999999998</v>
      </c>
      <c r="E19" s="5">
        <f t="shared" si="1"/>
        <v>24</v>
      </c>
      <c r="F19" s="6">
        <f t="shared" si="2"/>
        <v>23.733799999999999</v>
      </c>
      <c r="G19" s="6">
        <f t="shared" si="3"/>
        <v>24</v>
      </c>
      <c r="H19" s="6">
        <f t="shared" si="4"/>
        <v>0</v>
      </c>
    </row>
    <row r="20" spans="2:8" x14ac:dyDescent="0.3">
      <c r="B20" s="3">
        <v>11</v>
      </c>
      <c r="C20" s="5">
        <v>23.4</v>
      </c>
      <c r="D20" s="5">
        <f t="shared" si="0"/>
        <v>28.08</v>
      </c>
      <c r="E20" s="5">
        <f t="shared" si="1"/>
        <v>29</v>
      </c>
      <c r="F20" s="6">
        <f t="shared" si="2"/>
        <v>28.645599999999998</v>
      </c>
      <c r="G20" s="6">
        <f t="shared" si="3"/>
        <v>29</v>
      </c>
      <c r="H20" s="6">
        <f t="shared" si="4"/>
        <v>0</v>
      </c>
    </row>
    <row r="21" spans="2:8" x14ac:dyDescent="0.3">
      <c r="B21" s="3">
        <v>12</v>
      </c>
      <c r="C21" s="5">
        <v>27.9</v>
      </c>
      <c r="D21" s="5">
        <f t="shared" si="0"/>
        <v>33.479999999999997</v>
      </c>
      <c r="E21" s="5">
        <f t="shared" si="1"/>
        <v>34</v>
      </c>
      <c r="F21" s="6">
        <f t="shared" si="2"/>
        <v>34.029399999999995</v>
      </c>
      <c r="G21" s="6">
        <f t="shared" si="3"/>
        <v>35</v>
      </c>
      <c r="H21" s="6">
        <f t="shared" si="4"/>
        <v>1</v>
      </c>
    </row>
    <row r="22" spans="2:8" x14ac:dyDescent="0.3">
      <c r="B22" s="3">
        <v>13</v>
      </c>
      <c r="C22" s="5">
        <v>32.700000000000003</v>
      </c>
      <c r="D22" s="5">
        <f t="shared" si="0"/>
        <v>39.24</v>
      </c>
      <c r="E22" s="5">
        <f t="shared" si="1"/>
        <v>40</v>
      </c>
      <c r="F22" s="6">
        <f t="shared" si="2"/>
        <v>39.885200000000005</v>
      </c>
      <c r="G22" s="6">
        <f t="shared" si="3"/>
        <v>40</v>
      </c>
      <c r="H22" s="6">
        <f t="shared" si="4"/>
        <v>0</v>
      </c>
    </row>
    <row r="23" spans="2:8" x14ac:dyDescent="0.3">
      <c r="B23" s="3">
        <v>14</v>
      </c>
      <c r="C23" s="3">
        <v>38</v>
      </c>
      <c r="D23" s="5">
        <f t="shared" si="0"/>
        <v>45.6</v>
      </c>
      <c r="E23" s="5">
        <f t="shared" si="1"/>
        <v>46</v>
      </c>
      <c r="F23" s="6">
        <f t="shared" si="2"/>
        <v>46.213000000000001</v>
      </c>
      <c r="G23" s="6">
        <f t="shared" si="3"/>
        <v>47</v>
      </c>
      <c r="H23" s="6">
        <f t="shared" si="4"/>
        <v>1</v>
      </c>
    </row>
    <row r="24" spans="2:8" x14ac:dyDescent="0.3">
      <c r="B24" s="3">
        <v>15</v>
      </c>
      <c r="C24" s="5">
        <v>43.6</v>
      </c>
      <c r="D24" s="5">
        <f t="shared" si="0"/>
        <v>52.32</v>
      </c>
      <c r="E24" s="5">
        <f t="shared" si="1"/>
        <v>53</v>
      </c>
      <c r="F24" s="6">
        <f t="shared" si="2"/>
        <v>53.012799999999999</v>
      </c>
      <c r="G24" s="6">
        <f t="shared" si="3"/>
        <v>54</v>
      </c>
      <c r="H24" s="6">
        <f t="shared" si="4"/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C50F-8C17-434A-B374-3D336F10B316}">
  <dimension ref="B2:H32"/>
  <sheetViews>
    <sheetView zoomScale="90" zoomScaleNormal="90" workbookViewId="0">
      <pane ySplit="6" topLeftCell="A7" activePane="bottomLeft" state="frozen"/>
      <selection pane="bottomLeft" activeCell="B7" sqref="B7"/>
    </sheetView>
  </sheetViews>
  <sheetFormatPr defaultColWidth="8.6640625" defaultRowHeight="15.6" x14ac:dyDescent="0.3"/>
  <cols>
    <col min="1" max="1" width="3" style="4" customWidth="1"/>
    <col min="2" max="2" width="24.109375" style="3" bestFit="1" customWidth="1"/>
    <col min="3" max="3" width="17.109375" style="3" customWidth="1"/>
    <col min="4" max="4" width="11" style="4" bestFit="1" customWidth="1"/>
    <col min="5" max="5" width="10.88671875" style="4" customWidth="1"/>
    <col min="6" max="7" width="11.109375" style="3" customWidth="1"/>
    <col min="8" max="8" width="8.6640625" style="3"/>
    <col min="9" max="10" width="8.6640625" style="4"/>
    <col min="11" max="13" width="11.6640625" style="4" customWidth="1"/>
    <col min="14" max="16384" width="8.6640625" style="4"/>
  </cols>
  <sheetData>
    <row r="2" spans="2:6" x14ac:dyDescent="0.3">
      <c r="B2" s="2" t="s">
        <v>11</v>
      </c>
      <c r="C2" s="47">
        <v>46249</v>
      </c>
      <c r="D2" s="13"/>
    </row>
    <row r="3" spans="2:6" x14ac:dyDescent="0.3">
      <c r="B3" s="2" t="s">
        <v>64</v>
      </c>
      <c r="C3" s="46" t="s">
        <v>65</v>
      </c>
    </row>
    <row r="4" spans="2:6" x14ac:dyDescent="0.3">
      <c r="B4" s="2" t="str">
        <f>IF(C3="Tubular","Max diamater","Max thickness")</f>
        <v>Max diamater</v>
      </c>
      <c r="C4" s="53">
        <v>17</v>
      </c>
    </row>
    <row r="5" spans="2:6" x14ac:dyDescent="0.3">
      <c r="B5" s="2" t="s">
        <v>42</v>
      </c>
      <c r="C5" s="54">
        <f>VLOOKUP(C4,B11:C30,2)</f>
        <v>34</v>
      </c>
      <c r="D5" s="3"/>
      <c r="E5" s="12"/>
    </row>
    <row r="6" spans="2:6" x14ac:dyDescent="0.3">
      <c r="B6" s="2" t="s">
        <v>14</v>
      </c>
      <c r="C6" s="8">
        <f>C2+C5</f>
        <v>46283</v>
      </c>
      <c r="D6" s="3"/>
    </row>
    <row r="7" spans="2:6" x14ac:dyDescent="0.3">
      <c r="B7" s="4"/>
      <c r="C7" s="4"/>
      <c r="F7" s="4"/>
    </row>
    <row r="8" spans="2:6" ht="16.2" thickBot="1" x14ac:dyDescent="0.35"/>
    <row r="9" spans="2:6" ht="31.2" x14ac:dyDescent="0.3">
      <c r="B9" s="80" t="str">
        <f>_xlfn.CONCAT(B3," ",C3)</f>
        <v>Shape Tubular</v>
      </c>
      <c r="C9" s="81" t="s">
        <v>68</v>
      </c>
      <c r="D9" s="33" t="s">
        <v>66</v>
      </c>
      <c r="E9" s="32" t="s">
        <v>67</v>
      </c>
      <c r="F9" s="33" t="s">
        <v>65</v>
      </c>
    </row>
    <row r="10" spans="2:6" ht="16.2" thickBot="1" x14ac:dyDescent="0.35">
      <c r="B10" s="71" t="s">
        <v>46</v>
      </c>
      <c r="C10" s="86" t="s">
        <v>47</v>
      </c>
      <c r="D10" s="52" t="s">
        <v>46</v>
      </c>
      <c r="E10" s="52" t="s">
        <v>46</v>
      </c>
      <c r="F10" s="52" t="s">
        <v>46</v>
      </c>
    </row>
    <row r="11" spans="2:6" x14ac:dyDescent="0.3">
      <c r="B11" s="82">
        <v>1</v>
      </c>
      <c r="C11" s="83">
        <f>ROUNDUP((IF($C$3="Tubular",0.0975*(B11)^2 - 0.0094*B11 + 0.0316,2*(0.0975*(B11)^2 - 0.0094*B11 + 0.0316)))*1.2,0)</f>
        <v>1</v>
      </c>
      <c r="D11" s="78">
        <v>1</v>
      </c>
      <c r="E11" s="79">
        <v>0.2</v>
      </c>
      <c r="F11" s="79">
        <v>0.1</v>
      </c>
    </row>
    <row r="12" spans="2:6" x14ac:dyDescent="0.3">
      <c r="B12" s="82">
        <v>2</v>
      </c>
      <c r="C12" s="83">
        <f t="shared" ref="C12:C30" si="0">ROUNDUP((IF($C$3="Tubular",0.0975*(B12)^2 - 0.0094*B12 + 0.0316,2*(0.0975*(B12)^2 - 0.0094*B12 + 0.0316)))*1.2,0)</f>
        <v>1</v>
      </c>
      <c r="D12" s="78">
        <v>2</v>
      </c>
      <c r="E12" s="79">
        <v>0.8</v>
      </c>
      <c r="F12" s="79">
        <v>0.4</v>
      </c>
    </row>
    <row r="13" spans="2:6" x14ac:dyDescent="0.3">
      <c r="B13" s="82">
        <v>3</v>
      </c>
      <c r="C13" s="83">
        <f t="shared" si="0"/>
        <v>2</v>
      </c>
      <c r="D13" s="78">
        <v>3</v>
      </c>
      <c r="E13" s="79">
        <v>1.7</v>
      </c>
      <c r="F13" s="79">
        <v>0.9</v>
      </c>
    </row>
    <row r="14" spans="2:6" x14ac:dyDescent="0.3">
      <c r="B14" s="82">
        <v>4</v>
      </c>
      <c r="C14" s="83">
        <f t="shared" si="0"/>
        <v>2</v>
      </c>
      <c r="D14" s="78">
        <v>4</v>
      </c>
      <c r="E14" s="79">
        <v>3.1</v>
      </c>
      <c r="F14" s="79">
        <v>1.6</v>
      </c>
    </row>
    <row r="15" spans="2:6" x14ac:dyDescent="0.3">
      <c r="B15" s="82">
        <v>5</v>
      </c>
      <c r="C15" s="83">
        <f t="shared" si="0"/>
        <v>3</v>
      </c>
      <c r="D15" s="78">
        <v>5</v>
      </c>
      <c r="E15" s="79">
        <v>4.8</v>
      </c>
      <c r="F15" s="79">
        <v>2.4</v>
      </c>
    </row>
    <row r="16" spans="2:6" x14ac:dyDescent="0.3">
      <c r="B16" s="82">
        <v>6</v>
      </c>
      <c r="C16" s="83">
        <f t="shared" si="0"/>
        <v>5</v>
      </c>
      <c r="D16" s="78">
        <v>6</v>
      </c>
      <c r="E16" s="79">
        <v>7</v>
      </c>
      <c r="F16" s="79">
        <v>3.5</v>
      </c>
    </row>
    <row r="17" spans="2:6" x14ac:dyDescent="0.3">
      <c r="B17" s="82">
        <v>7</v>
      </c>
      <c r="C17" s="83">
        <f t="shared" si="0"/>
        <v>6</v>
      </c>
      <c r="D17" s="78">
        <v>7</v>
      </c>
      <c r="E17" s="79">
        <v>9.5</v>
      </c>
      <c r="F17" s="79">
        <v>4.7</v>
      </c>
    </row>
    <row r="18" spans="2:6" x14ac:dyDescent="0.3">
      <c r="B18" s="82">
        <v>8</v>
      </c>
      <c r="C18" s="83">
        <f t="shared" si="0"/>
        <v>8</v>
      </c>
      <c r="D18" s="78">
        <v>8</v>
      </c>
      <c r="E18" s="79">
        <v>12.4</v>
      </c>
      <c r="F18" s="79">
        <v>6.2</v>
      </c>
    </row>
    <row r="19" spans="2:6" x14ac:dyDescent="0.3">
      <c r="B19" s="82">
        <v>9</v>
      </c>
      <c r="C19" s="83">
        <f t="shared" si="0"/>
        <v>10</v>
      </c>
      <c r="D19" s="78">
        <v>9</v>
      </c>
      <c r="E19" s="79">
        <v>15.7</v>
      </c>
      <c r="F19" s="79">
        <v>7.8</v>
      </c>
    </row>
    <row r="20" spans="2:6" x14ac:dyDescent="0.3">
      <c r="B20" s="82">
        <v>10</v>
      </c>
      <c r="C20" s="83">
        <f t="shared" si="0"/>
        <v>12</v>
      </c>
      <c r="D20" s="78">
        <v>10</v>
      </c>
      <c r="E20" s="79">
        <v>19.399999999999999</v>
      </c>
      <c r="F20" s="79">
        <v>9.6999999999999993</v>
      </c>
    </row>
    <row r="21" spans="2:6" x14ac:dyDescent="0.3">
      <c r="B21" s="82">
        <f>B20+1</f>
        <v>11</v>
      </c>
      <c r="C21" s="83">
        <f t="shared" si="0"/>
        <v>15</v>
      </c>
      <c r="D21" s="78">
        <f>D20+1</f>
        <v>11</v>
      </c>
      <c r="E21" s="79">
        <v>23.4</v>
      </c>
      <c r="F21" s="79">
        <v>11.7</v>
      </c>
    </row>
    <row r="22" spans="2:6" x14ac:dyDescent="0.3">
      <c r="B22" s="82">
        <f t="shared" ref="B22:B30" si="1">B21+1</f>
        <v>12</v>
      </c>
      <c r="C22" s="83">
        <f t="shared" si="0"/>
        <v>17</v>
      </c>
      <c r="D22" s="78">
        <f t="shared" ref="D22:D30" si="2">D21+1</f>
        <v>12</v>
      </c>
      <c r="E22" s="79">
        <v>27.9</v>
      </c>
      <c r="F22" s="79">
        <v>14</v>
      </c>
    </row>
    <row r="23" spans="2:6" x14ac:dyDescent="0.3">
      <c r="B23" s="82">
        <f t="shared" si="1"/>
        <v>13</v>
      </c>
      <c r="C23" s="83">
        <f t="shared" si="0"/>
        <v>20</v>
      </c>
      <c r="D23" s="78">
        <f t="shared" si="2"/>
        <v>13</v>
      </c>
      <c r="E23" s="79">
        <v>32.700000000000003</v>
      </c>
      <c r="F23" s="79">
        <v>16.399999999999999</v>
      </c>
    </row>
    <row r="24" spans="2:6" x14ac:dyDescent="0.3">
      <c r="B24" s="82">
        <f t="shared" si="1"/>
        <v>14</v>
      </c>
      <c r="C24" s="83">
        <f t="shared" si="0"/>
        <v>23</v>
      </c>
      <c r="D24" s="78">
        <f t="shared" si="2"/>
        <v>14</v>
      </c>
      <c r="E24" s="79">
        <v>38</v>
      </c>
      <c r="F24" s="79">
        <v>19</v>
      </c>
    </row>
    <row r="25" spans="2:6" x14ac:dyDescent="0.3">
      <c r="B25" s="82">
        <f t="shared" si="1"/>
        <v>15</v>
      </c>
      <c r="C25" s="83">
        <f t="shared" si="0"/>
        <v>27</v>
      </c>
      <c r="D25" s="78">
        <f t="shared" si="2"/>
        <v>15</v>
      </c>
      <c r="E25" s="79">
        <v>43.6</v>
      </c>
      <c r="F25" s="79">
        <v>21.8</v>
      </c>
    </row>
    <row r="26" spans="2:6" x14ac:dyDescent="0.3">
      <c r="B26" s="82">
        <f t="shared" si="1"/>
        <v>16</v>
      </c>
      <c r="C26" s="83">
        <f t="shared" si="0"/>
        <v>30</v>
      </c>
      <c r="D26" s="78">
        <f t="shared" si="2"/>
        <v>16</v>
      </c>
      <c r="E26" s="5">
        <v>49.6</v>
      </c>
      <c r="F26" s="5">
        <v>24.8</v>
      </c>
    </row>
    <row r="27" spans="2:6" x14ac:dyDescent="0.3">
      <c r="B27" s="82">
        <f t="shared" si="1"/>
        <v>17</v>
      </c>
      <c r="C27" s="83">
        <f t="shared" si="0"/>
        <v>34</v>
      </c>
      <c r="D27" s="78">
        <f t="shared" si="2"/>
        <v>17</v>
      </c>
      <c r="E27" s="5">
        <v>56</v>
      </c>
      <c r="F27" s="5">
        <v>28</v>
      </c>
    </row>
    <row r="28" spans="2:6" x14ac:dyDescent="0.3">
      <c r="B28" s="82">
        <f t="shared" si="1"/>
        <v>18</v>
      </c>
      <c r="C28" s="83">
        <f t="shared" si="0"/>
        <v>38</v>
      </c>
      <c r="D28" s="78">
        <f t="shared" si="2"/>
        <v>18</v>
      </c>
      <c r="E28" s="5">
        <v>62.8</v>
      </c>
      <c r="F28" s="5">
        <v>31.4</v>
      </c>
    </row>
    <row r="29" spans="2:6" x14ac:dyDescent="0.3">
      <c r="B29" s="82">
        <f t="shared" si="1"/>
        <v>19</v>
      </c>
      <c r="C29" s="83">
        <f t="shared" si="0"/>
        <v>43</v>
      </c>
      <c r="D29" s="78">
        <f t="shared" si="2"/>
        <v>19</v>
      </c>
      <c r="E29" s="5">
        <v>69.900000000000006</v>
      </c>
      <c r="F29" s="5">
        <v>35</v>
      </c>
    </row>
    <row r="30" spans="2:6" ht="16.2" thickBot="1" x14ac:dyDescent="0.35">
      <c r="B30" s="84">
        <f t="shared" si="1"/>
        <v>20</v>
      </c>
      <c r="C30" s="85">
        <f t="shared" si="0"/>
        <v>47</v>
      </c>
      <c r="D30" s="78">
        <f t="shared" si="2"/>
        <v>20</v>
      </c>
      <c r="E30" s="5">
        <v>77.5</v>
      </c>
      <c r="F30" s="5">
        <v>38.799999999999997</v>
      </c>
    </row>
    <row r="31" spans="2:6" x14ac:dyDescent="0.3">
      <c r="B31" s="78"/>
    </row>
    <row r="32" spans="2:6" x14ac:dyDescent="0.3">
      <c r="B32" s="78"/>
    </row>
  </sheetData>
  <dataValidations count="1">
    <dataValidation type="list" allowBlank="1" showInputMessage="1" showErrorMessage="1" sqref="C3" xr:uid="{FDFC1047-33BB-4ADB-AE90-EB3914CF6FE5}">
      <formula1>"Flat, Tubular"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C9B9-B7F3-4310-A05B-4051C6908626}">
  <dimension ref="B2:L40"/>
  <sheetViews>
    <sheetView tabSelected="1" zoomScale="80" zoomScaleNormal="80" workbookViewId="0">
      <pane ySplit="5" topLeftCell="A6" activePane="bottomLeft" state="frozen"/>
      <selection pane="bottomLeft" activeCell="X14" sqref="X14"/>
    </sheetView>
  </sheetViews>
  <sheetFormatPr defaultColWidth="8.6640625" defaultRowHeight="15.6" x14ac:dyDescent="0.3"/>
  <cols>
    <col min="1" max="1" width="3.44140625" style="4" customWidth="1"/>
    <col min="2" max="2" width="21" style="4" customWidth="1"/>
    <col min="3" max="3" width="13" style="3" customWidth="1"/>
    <col min="4" max="4" width="11" style="4" bestFit="1" customWidth="1"/>
    <col min="5" max="5" width="8.6640625" style="3"/>
    <col min="6" max="6" width="11.77734375" style="3" bestFit="1" customWidth="1"/>
    <col min="7" max="7" width="12.109375" bestFit="1" customWidth="1"/>
    <col min="9" max="11" width="8.6640625" style="3"/>
    <col min="12" max="16384" width="8.6640625" style="4"/>
  </cols>
  <sheetData>
    <row r="2" spans="2:12" x14ac:dyDescent="0.3">
      <c r="B2" s="2" t="s">
        <v>5</v>
      </c>
      <c r="C2" s="47">
        <v>46285</v>
      </c>
      <c r="D2" s="9"/>
    </row>
    <row r="3" spans="2:12" x14ac:dyDescent="0.3">
      <c r="B3" s="2" t="s">
        <v>4</v>
      </c>
      <c r="C3" s="45">
        <v>2102</v>
      </c>
    </row>
    <row r="4" spans="2:12" x14ac:dyDescent="0.3">
      <c r="B4" s="2" t="s">
        <v>71</v>
      </c>
      <c r="C4" s="74">
        <v>35</v>
      </c>
      <c r="E4" s="21"/>
      <c r="F4" s="21"/>
    </row>
    <row r="5" spans="2:12" x14ac:dyDescent="0.3">
      <c r="B5" s="2" t="s">
        <v>6</v>
      </c>
      <c r="C5" s="29">
        <f>(100-C4)/100*C3</f>
        <v>1366.3</v>
      </c>
    </row>
    <row r="6" spans="2:12" ht="16.2" thickBot="1" x14ac:dyDescent="0.35"/>
    <row r="7" spans="2:12" x14ac:dyDescent="0.3">
      <c r="B7" s="34" t="s">
        <v>3</v>
      </c>
      <c r="C7" s="35" t="s">
        <v>54</v>
      </c>
      <c r="D7" s="34" t="s">
        <v>7</v>
      </c>
      <c r="E7" s="60">
        <f>C4</f>
        <v>35</v>
      </c>
      <c r="F7" s="60" t="s">
        <v>74</v>
      </c>
      <c r="G7" s="73" t="s">
        <v>75</v>
      </c>
      <c r="I7" s="61">
        <v>0.9</v>
      </c>
      <c r="J7" s="36">
        <v>0.8</v>
      </c>
      <c r="K7" s="36">
        <v>0.7</v>
      </c>
      <c r="L7" s="37">
        <v>0.6</v>
      </c>
    </row>
    <row r="8" spans="2:12" ht="16.2" thickBot="1" x14ac:dyDescent="0.35">
      <c r="B8" s="69">
        <f>C2</f>
        <v>46285</v>
      </c>
      <c r="C8" s="70">
        <f>C3</f>
        <v>2102</v>
      </c>
      <c r="D8" s="71">
        <f>B8-$B$8</f>
        <v>0</v>
      </c>
      <c r="E8" s="70">
        <f>$C$3-$C$3*E7/100</f>
        <v>1366.3</v>
      </c>
      <c r="F8" s="70">
        <f>C8</f>
        <v>2102</v>
      </c>
      <c r="G8" s="72">
        <f>C8/$C$8</f>
        <v>1</v>
      </c>
      <c r="I8" s="62">
        <f t="shared" ref="I8:I29" si="0">IF(B8="","",$C$3*$I$7)</f>
        <v>1891.8</v>
      </c>
      <c r="J8" s="63">
        <f t="shared" ref="J8:J29" si="1">IF(B8="","",$C$3*$J$7)</f>
        <v>1681.6000000000001</v>
      </c>
      <c r="K8" s="63">
        <f t="shared" ref="K8:K29" si="2">IF(B8="","",$C$3*$K$7)</f>
        <v>1471.3999999999999</v>
      </c>
      <c r="L8" s="58">
        <f t="shared" ref="L8:L29" si="3">IF(B8="","",$C$3*$L$7)</f>
        <v>1261.2</v>
      </c>
    </row>
    <row r="9" spans="2:12" x14ac:dyDescent="0.3">
      <c r="B9" s="49">
        <v>46291</v>
      </c>
      <c r="C9" s="48">
        <v>2057</v>
      </c>
      <c r="D9" s="76">
        <f t="shared" ref="D9:D17" si="4">IF(B9&gt;$B$8,B9-$B$8)</f>
        <v>6</v>
      </c>
      <c r="E9" s="77">
        <f t="shared" ref="E9" si="5">IF(B9=0,"",$C$3*((100-$C$4)/100))</f>
        <v>1366.3</v>
      </c>
      <c r="F9" s="77">
        <f>IF(C9="","",C9-$C$3)</f>
        <v>-45</v>
      </c>
      <c r="G9" s="87">
        <f>IF(C9="","",C9/$C$8)</f>
        <v>0.97859181731684108</v>
      </c>
      <c r="I9" s="64">
        <f t="shared" si="0"/>
        <v>1891.8</v>
      </c>
      <c r="J9" s="65">
        <f t="shared" si="1"/>
        <v>1681.6000000000001</v>
      </c>
      <c r="K9" s="65">
        <f t="shared" si="2"/>
        <v>1471.3999999999999</v>
      </c>
      <c r="L9" s="24">
        <f t="shared" si="3"/>
        <v>1261.2</v>
      </c>
    </row>
    <row r="10" spans="2:12" x14ac:dyDescent="0.3">
      <c r="B10" s="49">
        <v>46295</v>
      </c>
      <c r="C10" s="48">
        <v>2026</v>
      </c>
      <c r="D10" s="67">
        <f t="shared" si="4"/>
        <v>10</v>
      </c>
      <c r="E10" s="65">
        <f>E9</f>
        <v>1366.3</v>
      </c>
      <c r="F10" s="65">
        <f t="shared" ref="F10:F29" si="6">IF(C10="","",C10-$C$3)</f>
        <v>-76</v>
      </c>
      <c r="G10" s="88">
        <f t="shared" ref="G10:G29" si="7">IF(C10="","",C10/$C$8)</f>
        <v>0.96384395813510937</v>
      </c>
      <c r="I10" s="64">
        <f t="shared" si="0"/>
        <v>1891.8</v>
      </c>
      <c r="J10" s="65">
        <f t="shared" si="1"/>
        <v>1681.6000000000001</v>
      </c>
      <c r="K10" s="65">
        <f t="shared" si="2"/>
        <v>1471.3999999999999</v>
      </c>
      <c r="L10" s="24">
        <f t="shared" si="3"/>
        <v>1261.2</v>
      </c>
    </row>
    <row r="11" spans="2:12" x14ac:dyDescent="0.3">
      <c r="B11" s="49">
        <v>46299</v>
      </c>
      <c r="C11" s="48">
        <v>1990</v>
      </c>
      <c r="D11" s="67">
        <f t="shared" si="4"/>
        <v>14</v>
      </c>
      <c r="E11" s="65">
        <f t="shared" ref="E11:E29" si="8">E10</f>
        <v>1366.3</v>
      </c>
      <c r="F11" s="65">
        <f t="shared" si="6"/>
        <v>-112</v>
      </c>
      <c r="G11" s="88">
        <f t="shared" si="7"/>
        <v>0.94671741198858228</v>
      </c>
      <c r="I11" s="64">
        <f t="shared" si="0"/>
        <v>1891.8</v>
      </c>
      <c r="J11" s="65">
        <f t="shared" si="1"/>
        <v>1681.6000000000001</v>
      </c>
      <c r="K11" s="65">
        <f t="shared" si="2"/>
        <v>1471.3999999999999</v>
      </c>
      <c r="L11" s="24">
        <f t="shared" si="3"/>
        <v>1261.2</v>
      </c>
    </row>
    <row r="12" spans="2:12" x14ac:dyDescent="0.3">
      <c r="B12" s="49">
        <v>46303</v>
      </c>
      <c r="C12" s="48">
        <v>1963</v>
      </c>
      <c r="D12" s="67">
        <f t="shared" si="4"/>
        <v>18</v>
      </c>
      <c r="E12" s="65">
        <f t="shared" si="8"/>
        <v>1366.3</v>
      </c>
      <c r="F12" s="65">
        <f t="shared" si="6"/>
        <v>-139</v>
      </c>
      <c r="G12" s="88">
        <f t="shared" si="7"/>
        <v>0.93387250237868702</v>
      </c>
      <c r="I12" s="64">
        <f t="shared" si="0"/>
        <v>1891.8</v>
      </c>
      <c r="J12" s="65">
        <f t="shared" si="1"/>
        <v>1681.6000000000001</v>
      </c>
      <c r="K12" s="65">
        <f t="shared" si="2"/>
        <v>1471.3999999999999</v>
      </c>
      <c r="L12" s="24">
        <f t="shared" si="3"/>
        <v>1261.2</v>
      </c>
    </row>
    <row r="13" spans="2:12" x14ac:dyDescent="0.3">
      <c r="B13" s="49"/>
      <c r="C13" s="48"/>
      <c r="D13" s="67" t="b">
        <f t="shared" si="4"/>
        <v>0</v>
      </c>
      <c r="E13" s="65">
        <f t="shared" si="8"/>
        <v>1366.3</v>
      </c>
      <c r="F13" s="65" t="str">
        <f t="shared" si="6"/>
        <v/>
      </c>
      <c r="G13" s="88" t="str">
        <f t="shared" si="7"/>
        <v/>
      </c>
      <c r="I13" s="64" t="str">
        <f t="shared" si="0"/>
        <v/>
      </c>
      <c r="J13" s="65" t="str">
        <f t="shared" si="1"/>
        <v/>
      </c>
      <c r="K13" s="65" t="str">
        <f t="shared" si="2"/>
        <v/>
      </c>
      <c r="L13" s="24" t="str">
        <f t="shared" si="3"/>
        <v/>
      </c>
    </row>
    <row r="14" spans="2:12" x14ac:dyDescent="0.3">
      <c r="B14" s="49"/>
      <c r="C14" s="48"/>
      <c r="D14" s="67" t="b">
        <f t="shared" si="4"/>
        <v>0</v>
      </c>
      <c r="E14" s="65">
        <f t="shared" si="8"/>
        <v>1366.3</v>
      </c>
      <c r="F14" s="65" t="str">
        <f t="shared" si="6"/>
        <v/>
      </c>
      <c r="G14" s="88" t="str">
        <f t="shared" si="7"/>
        <v/>
      </c>
      <c r="I14" s="64" t="str">
        <f t="shared" si="0"/>
        <v/>
      </c>
      <c r="J14" s="65" t="str">
        <f t="shared" si="1"/>
        <v/>
      </c>
      <c r="K14" s="65" t="str">
        <f t="shared" si="2"/>
        <v/>
      </c>
      <c r="L14" s="24" t="str">
        <f t="shared" si="3"/>
        <v/>
      </c>
    </row>
    <row r="15" spans="2:12" x14ac:dyDescent="0.3">
      <c r="B15" s="49"/>
      <c r="C15" s="48"/>
      <c r="D15" s="67" t="b">
        <f t="shared" si="4"/>
        <v>0</v>
      </c>
      <c r="E15" s="65">
        <f t="shared" si="8"/>
        <v>1366.3</v>
      </c>
      <c r="F15" s="65" t="str">
        <f t="shared" si="6"/>
        <v/>
      </c>
      <c r="G15" s="88" t="str">
        <f t="shared" si="7"/>
        <v/>
      </c>
      <c r="I15" s="64" t="str">
        <f t="shared" si="0"/>
        <v/>
      </c>
      <c r="J15" s="65" t="str">
        <f t="shared" si="1"/>
        <v/>
      </c>
      <c r="K15" s="65" t="str">
        <f t="shared" si="2"/>
        <v/>
      </c>
      <c r="L15" s="24" t="str">
        <f t="shared" si="3"/>
        <v/>
      </c>
    </row>
    <row r="16" spans="2:12" x14ac:dyDescent="0.3">
      <c r="B16" s="49"/>
      <c r="C16" s="48"/>
      <c r="D16" s="67" t="b">
        <f t="shared" si="4"/>
        <v>0</v>
      </c>
      <c r="E16" s="65">
        <f t="shared" si="8"/>
        <v>1366.3</v>
      </c>
      <c r="F16" s="65" t="str">
        <f t="shared" si="6"/>
        <v/>
      </c>
      <c r="G16" s="88" t="str">
        <f t="shared" si="7"/>
        <v/>
      </c>
      <c r="I16" s="64" t="str">
        <f t="shared" si="0"/>
        <v/>
      </c>
      <c r="J16" s="65" t="str">
        <f t="shared" si="1"/>
        <v/>
      </c>
      <c r="K16" s="65" t="str">
        <f t="shared" si="2"/>
        <v/>
      </c>
      <c r="L16" s="24" t="str">
        <f t="shared" si="3"/>
        <v/>
      </c>
    </row>
    <row r="17" spans="2:12" x14ac:dyDescent="0.3">
      <c r="B17" s="49"/>
      <c r="C17" s="48"/>
      <c r="D17" s="67" t="b">
        <f t="shared" si="4"/>
        <v>0</v>
      </c>
      <c r="E17" s="65">
        <f t="shared" si="8"/>
        <v>1366.3</v>
      </c>
      <c r="F17" s="65" t="str">
        <f t="shared" si="6"/>
        <v/>
      </c>
      <c r="G17" s="88" t="str">
        <f t="shared" si="7"/>
        <v/>
      </c>
      <c r="I17" s="64" t="str">
        <f t="shared" si="0"/>
        <v/>
      </c>
      <c r="J17" s="65" t="str">
        <f t="shared" si="1"/>
        <v/>
      </c>
      <c r="K17" s="65" t="str">
        <f t="shared" si="2"/>
        <v/>
      </c>
      <c r="L17" s="24" t="str">
        <f t="shared" si="3"/>
        <v/>
      </c>
    </row>
    <row r="18" spans="2:12" x14ac:dyDescent="0.3">
      <c r="B18" s="49"/>
      <c r="C18" s="48"/>
      <c r="D18" s="67" t="b">
        <f>IF(B18&gt;$B$8,B18-$B$8)</f>
        <v>0</v>
      </c>
      <c r="E18" s="65">
        <f t="shared" si="8"/>
        <v>1366.3</v>
      </c>
      <c r="F18" s="65" t="str">
        <f t="shared" si="6"/>
        <v/>
      </c>
      <c r="G18" s="88" t="str">
        <f t="shared" si="7"/>
        <v/>
      </c>
      <c r="I18" s="64" t="str">
        <f t="shared" si="0"/>
        <v/>
      </c>
      <c r="J18" s="65" t="str">
        <f t="shared" si="1"/>
        <v/>
      </c>
      <c r="K18" s="65" t="str">
        <f t="shared" si="2"/>
        <v/>
      </c>
      <c r="L18" s="24" t="str">
        <f t="shared" si="3"/>
        <v/>
      </c>
    </row>
    <row r="19" spans="2:12" x14ac:dyDescent="0.3">
      <c r="B19" s="49"/>
      <c r="C19" s="48"/>
      <c r="D19" s="67" t="b">
        <f t="shared" ref="D19:D29" si="9">IF(B19&gt;$B$8,B19-$B$8)</f>
        <v>0</v>
      </c>
      <c r="E19" s="65">
        <f t="shared" si="8"/>
        <v>1366.3</v>
      </c>
      <c r="F19" s="65" t="str">
        <f t="shared" si="6"/>
        <v/>
      </c>
      <c r="G19" s="88" t="str">
        <f t="shared" si="7"/>
        <v/>
      </c>
      <c r="I19" s="64" t="str">
        <f t="shared" si="0"/>
        <v/>
      </c>
      <c r="J19" s="65" t="str">
        <f t="shared" si="1"/>
        <v/>
      </c>
      <c r="K19" s="65" t="str">
        <f t="shared" si="2"/>
        <v/>
      </c>
      <c r="L19" s="24" t="str">
        <f t="shared" si="3"/>
        <v/>
      </c>
    </row>
    <row r="20" spans="2:12" x14ac:dyDescent="0.3">
      <c r="B20" s="49"/>
      <c r="C20" s="48"/>
      <c r="D20" s="67" t="b">
        <f t="shared" si="9"/>
        <v>0</v>
      </c>
      <c r="E20" s="65">
        <f t="shared" si="8"/>
        <v>1366.3</v>
      </c>
      <c r="F20" s="65" t="str">
        <f t="shared" si="6"/>
        <v/>
      </c>
      <c r="G20" s="88" t="str">
        <f t="shared" si="7"/>
        <v/>
      </c>
      <c r="I20" s="64" t="str">
        <f t="shared" si="0"/>
        <v/>
      </c>
      <c r="J20" s="65" t="str">
        <f t="shared" si="1"/>
        <v/>
      </c>
      <c r="K20" s="65" t="str">
        <f t="shared" si="2"/>
        <v/>
      </c>
      <c r="L20" s="24" t="str">
        <f t="shared" si="3"/>
        <v/>
      </c>
    </row>
    <row r="21" spans="2:12" x14ac:dyDescent="0.3">
      <c r="B21" s="49"/>
      <c r="C21" s="48"/>
      <c r="D21" s="67" t="b">
        <f t="shared" si="9"/>
        <v>0</v>
      </c>
      <c r="E21" s="65">
        <f t="shared" si="8"/>
        <v>1366.3</v>
      </c>
      <c r="F21" s="65" t="str">
        <f t="shared" si="6"/>
        <v/>
      </c>
      <c r="G21" s="88" t="str">
        <f t="shared" si="7"/>
        <v/>
      </c>
      <c r="I21" s="64" t="str">
        <f t="shared" si="0"/>
        <v/>
      </c>
      <c r="J21" s="65" t="str">
        <f t="shared" si="1"/>
        <v/>
      </c>
      <c r="K21" s="65" t="str">
        <f t="shared" si="2"/>
        <v/>
      </c>
      <c r="L21" s="24" t="str">
        <f t="shared" si="3"/>
        <v/>
      </c>
    </row>
    <row r="22" spans="2:12" x14ac:dyDescent="0.3">
      <c r="B22" s="49"/>
      <c r="C22" s="48"/>
      <c r="D22" s="67" t="b">
        <f t="shared" si="9"/>
        <v>0</v>
      </c>
      <c r="E22" s="65">
        <f t="shared" si="8"/>
        <v>1366.3</v>
      </c>
      <c r="F22" s="65" t="str">
        <f t="shared" si="6"/>
        <v/>
      </c>
      <c r="G22" s="88" t="str">
        <f t="shared" si="7"/>
        <v/>
      </c>
      <c r="I22" s="64" t="str">
        <f t="shared" si="0"/>
        <v/>
      </c>
      <c r="J22" s="65" t="str">
        <f t="shared" si="1"/>
        <v/>
      </c>
      <c r="K22" s="65" t="str">
        <f t="shared" si="2"/>
        <v/>
      </c>
      <c r="L22" s="24" t="str">
        <f t="shared" si="3"/>
        <v/>
      </c>
    </row>
    <row r="23" spans="2:12" x14ac:dyDescent="0.3">
      <c r="B23" s="49"/>
      <c r="C23" s="48"/>
      <c r="D23" s="67" t="b">
        <f t="shared" si="9"/>
        <v>0</v>
      </c>
      <c r="E23" s="65">
        <f t="shared" si="8"/>
        <v>1366.3</v>
      </c>
      <c r="F23" s="65" t="str">
        <f t="shared" si="6"/>
        <v/>
      </c>
      <c r="G23" s="88" t="str">
        <f t="shared" si="7"/>
        <v/>
      </c>
      <c r="I23" s="64" t="str">
        <f t="shared" si="0"/>
        <v/>
      </c>
      <c r="J23" s="65" t="str">
        <f t="shared" si="1"/>
        <v/>
      </c>
      <c r="K23" s="65" t="str">
        <f t="shared" si="2"/>
        <v/>
      </c>
      <c r="L23" s="24" t="str">
        <f t="shared" si="3"/>
        <v/>
      </c>
    </row>
    <row r="24" spans="2:12" x14ac:dyDescent="0.3">
      <c r="B24" s="49"/>
      <c r="C24" s="48"/>
      <c r="D24" s="67" t="b">
        <f t="shared" si="9"/>
        <v>0</v>
      </c>
      <c r="E24" s="65">
        <f t="shared" si="8"/>
        <v>1366.3</v>
      </c>
      <c r="F24" s="65" t="str">
        <f t="shared" si="6"/>
        <v/>
      </c>
      <c r="G24" s="88" t="str">
        <f t="shared" si="7"/>
        <v/>
      </c>
      <c r="I24" s="64" t="str">
        <f t="shared" si="0"/>
        <v/>
      </c>
      <c r="J24" s="65" t="str">
        <f t="shared" si="1"/>
        <v/>
      </c>
      <c r="K24" s="65" t="str">
        <f t="shared" si="2"/>
        <v/>
      </c>
      <c r="L24" s="24" t="str">
        <f t="shared" si="3"/>
        <v/>
      </c>
    </row>
    <row r="25" spans="2:12" x14ac:dyDescent="0.3">
      <c r="B25" s="49"/>
      <c r="C25" s="48"/>
      <c r="D25" s="67" t="b">
        <f t="shared" si="9"/>
        <v>0</v>
      </c>
      <c r="E25" s="65">
        <f t="shared" si="8"/>
        <v>1366.3</v>
      </c>
      <c r="F25" s="65" t="str">
        <f t="shared" si="6"/>
        <v/>
      </c>
      <c r="G25" s="88" t="str">
        <f t="shared" si="7"/>
        <v/>
      </c>
      <c r="I25" s="64" t="str">
        <f t="shared" si="0"/>
        <v/>
      </c>
      <c r="J25" s="65" t="str">
        <f t="shared" si="1"/>
        <v/>
      </c>
      <c r="K25" s="65" t="str">
        <f t="shared" si="2"/>
        <v/>
      </c>
      <c r="L25" s="24" t="str">
        <f t="shared" si="3"/>
        <v/>
      </c>
    </row>
    <row r="26" spans="2:12" x14ac:dyDescent="0.3">
      <c r="B26" s="49"/>
      <c r="C26" s="48"/>
      <c r="D26" s="67" t="b">
        <f t="shared" si="9"/>
        <v>0</v>
      </c>
      <c r="E26" s="65">
        <f t="shared" si="8"/>
        <v>1366.3</v>
      </c>
      <c r="F26" s="65" t="str">
        <f t="shared" si="6"/>
        <v/>
      </c>
      <c r="G26" s="88" t="str">
        <f t="shared" si="7"/>
        <v/>
      </c>
      <c r="I26" s="64" t="str">
        <f t="shared" si="0"/>
        <v/>
      </c>
      <c r="J26" s="65" t="str">
        <f t="shared" si="1"/>
        <v/>
      </c>
      <c r="K26" s="65" t="str">
        <f t="shared" si="2"/>
        <v/>
      </c>
      <c r="L26" s="24" t="str">
        <f t="shared" si="3"/>
        <v/>
      </c>
    </row>
    <row r="27" spans="2:12" x14ac:dyDescent="0.3">
      <c r="B27" s="49"/>
      <c r="C27" s="48"/>
      <c r="D27" s="67" t="b">
        <f t="shared" si="9"/>
        <v>0</v>
      </c>
      <c r="E27" s="65">
        <f t="shared" si="8"/>
        <v>1366.3</v>
      </c>
      <c r="F27" s="65" t="str">
        <f t="shared" si="6"/>
        <v/>
      </c>
      <c r="G27" s="88" t="str">
        <f t="shared" si="7"/>
        <v/>
      </c>
      <c r="I27" s="64" t="str">
        <f t="shared" si="0"/>
        <v/>
      </c>
      <c r="J27" s="65" t="str">
        <f t="shared" si="1"/>
        <v/>
      </c>
      <c r="K27" s="65" t="str">
        <f t="shared" si="2"/>
        <v/>
      </c>
      <c r="L27" s="24" t="str">
        <f t="shared" si="3"/>
        <v/>
      </c>
    </row>
    <row r="28" spans="2:12" x14ac:dyDescent="0.3">
      <c r="B28" s="49"/>
      <c r="C28" s="48"/>
      <c r="D28" s="67" t="b">
        <f t="shared" si="9"/>
        <v>0</v>
      </c>
      <c r="E28" s="65">
        <f t="shared" si="8"/>
        <v>1366.3</v>
      </c>
      <c r="F28" s="65" t="str">
        <f t="shared" si="6"/>
        <v/>
      </c>
      <c r="G28" s="88" t="str">
        <f t="shared" si="7"/>
        <v/>
      </c>
      <c r="I28" s="64" t="str">
        <f t="shared" si="0"/>
        <v/>
      </c>
      <c r="J28" s="65" t="str">
        <f t="shared" si="1"/>
        <v/>
      </c>
      <c r="K28" s="65" t="str">
        <f t="shared" si="2"/>
        <v/>
      </c>
      <c r="L28" s="24" t="str">
        <f t="shared" si="3"/>
        <v/>
      </c>
    </row>
    <row r="29" spans="2:12" ht="16.2" thickBot="1" x14ac:dyDescent="0.35">
      <c r="B29" s="50"/>
      <c r="C29" s="51"/>
      <c r="D29" s="68" t="b">
        <f t="shared" si="9"/>
        <v>0</v>
      </c>
      <c r="E29" s="25">
        <f t="shared" si="8"/>
        <v>1366.3</v>
      </c>
      <c r="F29" s="25" t="str">
        <f t="shared" si="6"/>
        <v/>
      </c>
      <c r="G29" s="89" t="str">
        <f t="shared" si="7"/>
        <v/>
      </c>
      <c r="I29" s="66" t="str">
        <f t="shared" si="0"/>
        <v/>
      </c>
      <c r="J29" s="25" t="str">
        <f t="shared" si="1"/>
        <v/>
      </c>
      <c r="K29" s="25" t="str">
        <f t="shared" si="2"/>
        <v/>
      </c>
      <c r="L29" s="26" t="str">
        <f t="shared" si="3"/>
        <v/>
      </c>
    </row>
    <row r="30" spans="2:12" x14ac:dyDescent="0.3">
      <c r="B30" s="8"/>
      <c r="D30" s="3"/>
      <c r="I30" s="7"/>
      <c r="J30" s="7"/>
      <c r="K30" s="7"/>
      <c r="L30" s="7"/>
    </row>
    <row r="31" spans="2:12" x14ac:dyDescent="0.3">
      <c r="B31" s="8"/>
      <c r="D31" s="3"/>
      <c r="I31" s="7"/>
      <c r="J31" s="7"/>
      <c r="K31" s="7"/>
      <c r="L31" s="7"/>
    </row>
    <row r="32" spans="2:12" x14ac:dyDescent="0.3">
      <c r="B32" s="8"/>
      <c r="D32" s="3"/>
      <c r="E32" s="7"/>
      <c r="F32" s="7"/>
      <c r="I32" s="7"/>
      <c r="J32" s="7"/>
      <c r="K32" s="7"/>
      <c r="L32" s="7"/>
    </row>
    <row r="33" spans="2:12" x14ac:dyDescent="0.3">
      <c r="B33" s="8"/>
      <c r="D33" s="3"/>
      <c r="E33" s="7"/>
      <c r="F33" s="7"/>
      <c r="I33" s="7"/>
      <c r="J33" s="7"/>
      <c r="K33" s="7"/>
      <c r="L33" s="7"/>
    </row>
    <row r="34" spans="2:12" x14ac:dyDescent="0.3">
      <c r="B34" s="8"/>
      <c r="D34" s="3"/>
      <c r="E34" s="7"/>
      <c r="F34" s="7"/>
      <c r="I34" s="7"/>
      <c r="J34" s="59"/>
      <c r="K34" s="7"/>
      <c r="L34" s="7"/>
    </row>
    <row r="35" spans="2:12" x14ac:dyDescent="0.3">
      <c r="B35" s="8"/>
      <c r="D35" s="3"/>
      <c r="E35" s="7"/>
      <c r="F35" s="7"/>
      <c r="I35" s="7"/>
      <c r="J35" s="59"/>
      <c r="K35" s="7"/>
      <c r="L35" s="7"/>
    </row>
    <row r="36" spans="2:12" x14ac:dyDescent="0.3">
      <c r="B36" s="8"/>
      <c r="D36" s="3"/>
      <c r="E36" s="7"/>
      <c r="F36" s="7"/>
      <c r="I36" s="7"/>
      <c r="J36" s="59"/>
      <c r="K36" s="7"/>
      <c r="L36" s="7"/>
    </row>
    <row r="37" spans="2:12" x14ac:dyDescent="0.3">
      <c r="B37" s="8"/>
      <c r="D37" s="3"/>
      <c r="E37" s="7"/>
      <c r="F37" s="7"/>
      <c r="I37" s="7"/>
      <c r="J37" s="7"/>
      <c r="K37" s="7"/>
      <c r="L37" s="7"/>
    </row>
    <row r="38" spans="2:12" x14ac:dyDescent="0.3">
      <c r="B38" s="8"/>
      <c r="D38" s="3"/>
      <c r="E38" s="7"/>
      <c r="F38" s="7"/>
      <c r="I38" s="7"/>
      <c r="J38" s="7"/>
      <c r="K38" s="7"/>
      <c r="L38" s="7"/>
    </row>
    <row r="39" spans="2:12" x14ac:dyDescent="0.3">
      <c r="B39" s="8"/>
      <c r="D39" s="3"/>
      <c r="E39" s="7"/>
      <c r="F39" s="7"/>
      <c r="I39" s="7"/>
      <c r="J39" s="7"/>
      <c r="K39" s="7"/>
      <c r="L39" s="7"/>
    </row>
    <row r="40" spans="2:12" x14ac:dyDescent="0.3">
      <c r="D40" s="3"/>
    </row>
  </sheetData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 Resources</vt:lpstr>
      <vt:lpstr>1. Spice mix</vt:lpstr>
      <vt:lpstr>2. Brining time (TUBULAR)</vt:lpstr>
      <vt:lpstr>2. Brining time (FLAT)</vt:lpstr>
      <vt:lpstr>2. Brining time</vt:lpstr>
      <vt:lpstr>3. Drying weight</vt:lpstr>
    </vt:vector>
  </TitlesOfParts>
  <Company>Northern Lights 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Abdul-Majid</dc:creator>
  <cp:lastModifiedBy>Imran Abdul-Majid</cp:lastModifiedBy>
  <dcterms:created xsi:type="dcterms:W3CDTF">2026-07-08T17:15:39Z</dcterms:created>
  <dcterms:modified xsi:type="dcterms:W3CDTF">2026-10-08T18:43:43Z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00b80d-883d-4dc1-9027-00620f2ff279_Enabled">
    <vt:lpwstr>true</vt:lpwstr>
  </property>
  <property fmtid="{D5CDD505-2E9C-101B-9397-08002B2CF9AE}" pid="3" name="MSIP_Label_6a00b80d-883d-4dc1-9027-00620f2ff279_SetDate">
    <vt:lpwstr>2026-07-10T15:57:53Z</vt:lpwstr>
  </property>
  <property fmtid="{D5CDD505-2E9C-101B-9397-08002B2CF9AE}" pid="4" name="MSIP_Label_6a00b80d-883d-4dc1-9027-00620f2ff279_Method">
    <vt:lpwstr>Privileged</vt:lpwstr>
  </property>
  <property fmtid="{D5CDD505-2E9C-101B-9397-08002B2CF9AE}" pid="5" name="MSIP_Label_6a00b80d-883d-4dc1-9027-00620f2ff279_Name">
    <vt:lpwstr>Unrestricted</vt:lpwstr>
  </property>
  <property fmtid="{D5CDD505-2E9C-101B-9397-08002B2CF9AE}" pid="6" name="MSIP_Label_6a00b80d-883d-4dc1-9027-00620f2ff279_SiteId">
    <vt:lpwstr>0bf0af24-5b7e-443b-9069-b4dd43b13c1c</vt:lpwstr>
  </property>
  <property fmtid="{D5CDD505-2E9C-101B-9397-08002B2CF9AE}" pid="7" name="MSIP_Label_6a00b80d-883d-4dc1-9027-00620f2ff279_ActionId">
    <vt:lpwstr>0c4814e9-9452-458c-9781-60eda3773328</vt:lpwstr>
  </property>
  <property fmtid="{D5CDD505-2E9C-101B-9397-08002B2CF9AE}" pid="8" name="MSIP_Label_6a00b80d-883d-4dc1-9027-00620f2ff279_ContentBits">
    <vt:lpwstr>0</vt:lpwstr>
  </property>
  <property fmtid="{D5CDD505-2E9C-101B-9397-08002B2CF9AE}" pid="9" name="MSIP_Label_6a00b80d-883d-4dc1-9027-00620f2ff279_Tag">
    <vt:lpwstr>10, 0, 1, 1</vt:lpwstr>
  </property>
</Properties>
</file>